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alculadora" sheetId="1" state="visible" r:id="rId1"/>
    <sheet name="Familia de soluciones" sheetId="2" state="visible" r:id="rId2"/>
    <sheet name="Ecuaciones" sheetId="3" state="visible" r:id="rId3"/>
    <sheet name="Anchos y masas" sheetId="4" state="visible" r:id="rId4"/>
    <sheet name="Caida libre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0.00&quot;°&quot;"/>
    <numFmt numFmtId="165" formatCode="0.00&quot; mm&quot;"/>
    <numFmt numFmtId="166" formatCode="0.000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1F1F1F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5"/>
    </font>
    <font>
      <b val="1"/>
      <sz val="13"/>
    </font>
    <font>
      <b val="1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F4CE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0">
    <border/>
    <border/>
    <border>
      <left style="thin">
        <color rgb="FFA6A6A6"/>
      </left>
      <right style="thin">
        <color rgb="FFD9D9D9"/>
      </right>
      <top style="thin">
        <color rgb="FFA6A6A6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A6A6A6"/>
      </top>
      <bottom style="thin">
        <color rgb="FFD9D9D9"/>
      </bottom>
    </border>
    <border>
      <left style="thin">
        <color rgb="FFD9D9D9"/>
      </left>
      <right style="thin">
        <color rgb="FFA6A6A6"/>
      </right>
      <top style="thin">
        <color rgb="FFA6A6A6"/>
      </top>
      <bottom style="thin">
        <color rgb="FFD9D9D9"/>
      </bottom>
    </border>
    <border>
      <left style="thin">
        <color rgb="FFA6A6A6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A6A6A6"/>
      </right>
      <top style="thin">
        <color rgb="FFD9D9D9"/>
      </top>
      <bottom style="thin">
        <color rgb="FFD9D9D9"/>
      </bottom>
    </border>
    <border>
      <left style="thin">
        <color rgb="FFA6A6A6"/>
      </left>
      <right style="thin">
        <color rgb="FFD9D9D9"/>
      </right>
      <top style="thin">
        <color rgb="FFD9D9D9"/>
      </top>
      <bottom style="thin">
        <color rgb="FFA6A6A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A6A6A6"/>
      </bottom>
    </border>
    <border>
      <left style="thin">
        <color rgb="FFD9D9D9"/>
      </left>
      <right style="thin">
        <color rgb="FFA6A6A6"/>
      </right>
      <top style="thin">
        <color rgb="FFD9D9D9"/>
      </top>
      <bottom style="thin">
        <color rgb="FFA6A6A6"/>
      </bottom>
    </border>
    <border>
      <left style="thin">
        <color rgb="FFA6A6A6"/>
      </left>
      <right style="thin">
        <color rgb="FFD9D9D9"/>
      </right>
      <top style="thin">
        <color rgb="FFA6A6A6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A6A6A6"/>
      </top>
      <bottom style="thin">
        <color rgb="FFD9D9D9"/>
      </bottom>
    </border>
    <border>
      <left style="thin">
        <color rgb="FFD9D9D9"/>
      </left>
      <right style="thin">
        <color rgb="FFA6A6A6"/>
      </right>
      <top style="thin">
        <color rgb="FFA6A6A6"/>
      </top>
      <bottom style="thin">
        <color rgb="FFD9D9D9"/>
      </bottom>
    </border>
    <border>
      <left style="thin">
        <color rgb="FFA6A6A6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A6A6A6"/>
      </right>
      <top style="thin">
        <color rgb="FFD9D9D9"/>
      </top>
      <bottom style="thin">
        <color rgb="FFD9D9D9"/>
      </bottom>
    </border>
    <border>
      <left style="thin">
        <color rgb="FFA6A6A6"/>
      </left>
      <right style="thin">
        <color rgb="FFD9D9D9"/>
      </right>
      <top style="thin">
        <color rgb="FFD9D9D9"/>
      </top>
      <bottom style="thin">
        <color rgb="FFA6A6A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A6A6A6"/>
      </bottom>
    </border>
    <border>
      <left style="thin">
        <color rgb="FFD9D9D9"/>
      </left>
      <right style="thin">
        <color rgb="FFA6A6A6"/>
      </right>
      <top style="thin">
        <color rgb="FFD9D9D9"/>
      </top>
      <bottom style="thin">
        <color rgb="FFA6A6A6"/>
      </bottom>
    </border>
  </borders>
  <cellStyleXfs count="1">
    <xf numFmtId="0" fontId="0" fillId="0" borderId="1"/>
  </cellStyleXfs>
  <cellXfs count="13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0" fillId="4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0" fillId="4" borderId="0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applyAlignment="1" pivotButton="0" quotePrefix="0" xfId="0">
      <alignment vertical="center" wrapText="1"/>
    </xf>
    <xf numFmtId="0" fontId="0" fillId="5" borderId="1" pivotButton="0" quotePrefix="0" xfId="0"/>
    <xf numFmtId="0" fontId="0" fillId="5" borderId="1" applyAlignment="1" pivotButton="0" quotePrefix="0" xfId="0">
      <alignment wrapText="1"/>
    </xf>
    <xf numFmtId="0" fontId="0" fillId="5" borderId="1" applyAlignment="1" pivotButton="0" quotePrefix="0" xfId="0">
      <alignment vertical="center" wrapText="1"/>
    </xf>
    <xf numFmtId="0" fontId="0" fillId="6" borderId="0" pivotButton="0" quotePrefix="0" xfId="0"/>
    <xf numFmtId="0" fontId="0" fillId="6" borderId="1" pivotButton="0" quotePrefix="0" xfId="0"/>
    <xf numFmtId="0" fontId="0" fillId="6" borderId="0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165" fontId="0" fillId="6" borderId="0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4" borderId="0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165" fontId="0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0" borderId="5" pivotButton="0" quotePrefix="0" xfId="0"/>
    <xf numFmtId="164" fontId="0" fillId="4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165" fontId="0" fillId="4" borderId="6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0" fontId="4" fillId="0" borderId="8" pivotButton="0" quotePrefix="0" xfId="0"/>
    <xf numFmtId="165" fontId="0" fillId="4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3" fillId="2" borderId="11" applyAlignment="1" pivotButton="0" quotePrefix="0" xfId="0">
      <alignment horizontal="center"/>
    </xf>
    <xf numFmtId="0" fontId="3" fillId="2" borderId="12" applyAlignment="1" pivotButton="0" quotePrefix="0" xfId="0">
      <alignment horizontal="center"/>
    </xf>
    <xf numFmtId="0" fontId="3" fillId="2" borderId="13" applyAlignment="1" pivotButton="0" quotePrefix="0" xfId="0">
      <alignment horizontal="center"/>
    </xf>
    <xf numFmtId="0" fontId="4" fillId="0" borderId="14" pivotButton="0" quotePrefix="0" xfId="0"/>
    <xf numFmtId="164" fontId="0" fillId="4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165" fontId="0" fillId="4" borderId="15" applyAlignment="1" pivotButton="0" quotePrefix="0" xfId="0">
      <alignment horizontal="center"/>
    </xf>
    <xf numFmtId="0" fontId="0" fillId="4" borderId="15" applyAlignment="1" pivotButton="0" quotePrefix="0" xfId="0">
      <alignment horizontal="center"/>
    </xf>
    <xf numFmtId="0" fontId="4" fillId="0" borderId="17" pivotButton="0" quotePrefix="0" xfId="0"/>
    <xf numFmtId="165" fontId="0" fillId="4" borderId="18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164" fontId="0" fillId="6" borderId="7" applyAlignment="1" pivotButton="0" quotePrefix="0" xfId="0">
      <alignment horizontal="center"/>
    </xf>
    <xf numFmtId="165" fontId="0" fillId="6" borderId="7" applyAlignment="1" pivotButton="0" quotePrefix="0" xfId="0">
      <alignment horizontal="center"/>
    </xf>
    <xf numFmtId="0" fontId="0" fillId="6" borderId="10" applyAlignment="1" pivotButton="0" quotePrefix="0" xfId="0">
      <alignment horizontal="center"/>
    </xf>
    <xf numFmtId="164" fontId="0" fillId="6" borderId="16" applyAlignment="1" pivotButton="0" quotePrefix="0" xfId="0">
      <alignment horizontal="center"/>
    </xf>
    <xf numFmtId="165" fontId="0" fillId="6" borderId="16" applyAlignment="1" pivotButton="0" quotePrefix="0" xfId="0">
      <alignment horizontal="center"/>
    </xf>
    <xf numFmtId="0" fontId="0" fillId="6" borderId="19" applyAlignment="1" pivotButton="0" quotePrefix="0" xfId="0">
      <alignment horizontal="center"/>
    </xf>
    <xf numFmtId="165" fontId="0" fillId="0" borderId="7" pivotButton="0" quotePrefix="0" xfId="0"/>
    <xf numFmtId="166" fontId="0" fillId="0" borderId="10" pivotButton="0" quotePrefix="0" xfId="0"/>
    <xf numFmtId="165" fontId="0" fillId="0" borderId="16" pivotButton="0" quotePrefix="0" xfId="0"/>
    <xf numFmtId="166" fontId="0" fillId="0" borderId="19" pivotButton="0" quotePrefix="0" xfId="0"/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5" fillId="2" borderId="1" pivotButton="0" quotePrefix="0" xfId="0"/>
    <xf numFmtId="0" fontId="5" fillId="2" borderId="1" applyAlignment="1" pivotButton="0" quotePrefix="0" xfId="0">
      <alignment horizontal="center"/>
    </xf>
    <xf numFmtId="0" fontId="0" fillId="3" borderId="0" applyAlignment="1" pivotButton="0" quotePrefix="0" xfId="0">
      <alignment wrapText="1"/>
    </xf>
    <xf numFmtId="0" fontId="0" fillId="3" borderId="0" applyAlignment="1" pivotButton="0" quotePrefix="0" xfId="0">
      <alignment vertical="center" wrapText="1"/>
    </xf>
    <xf numFmtId="0" fontId="0" fillId="3" borderId="1" applyAlignment="1" pivotButton="0" quotePrefix="0" xfId="0">
      <alignment wrapText="1"/>
    </xf>
    <xf numFmtId="0" fontId="0" fillId="3" borderId="1" applyAlignment="1" pivotButton="0" quotePrefix="0" xfId="0">
      <alignment vertical="center" wrapText="1"/>
    </xf>
    <xf numFmtId="2" fontId="0" fillId="0" borderId="0" pivotButton="0" quotePrefix="0" xfId="0"/>
    <xf numFmtId="2" fontId="0" fillId="0" borderId="1" pivotButton="0" quotePrefix="0" xfId="0"/>
    <xf numFmtId="2" fontId="0" fillId="0" borderId="5" pivotButton="0" quotePrefix="0" xfId="0"/>
    <xf numFmtId="2" fontId="0" fillId="0" borderId="6" pivotButton="0" quotePrefix="0" xfId="0"/>
    <xf numFmtId="0" fontId="0" fillId="0" borderId="7" pivotButton="0" quotePrefix="0" xfId="0"/>
    <xf numFmtId="2" fontId="0" fillId="0" borderId="8" pivotButton="0" quotePrefix="0" xfId="0"/>
    <xf numFmtId="2" fontId="0" fillId="0" borderId="9" pivotButton="0" quotePrefix="0" xfId="0"/>
    <xf numFmtId="0" fontId="0" fillId="0" borderId="10" pivotButton="0" quotePrefix="0" xfId="0"/>
    <xf numFmtId="2" fontId="0" fillId="0" borderId="14" pivotButton="0" quotePrefix="0" xfId="0"/>
    <xf numFmtId="2" fontId="0" fillId="0" borderId="15" pivotButton="0" quotePrefix="0" xfId="0"/>
    <xf numFmtId="0" fontId="0" fillId="0" borderId="16" pivotButton="0" quotePrefix="0" xfId="0"/>
    <xf numFmtId="2" fontId="0" fillId="0" borderId="17" pivotButton="0" quotePrefix="0" xfId="0"/>
    <xf numFmtId="2" fontId="0" fillId="0" borderId="18" pivotButton="0" quotePrefix="0" xfId="0"/>
    <xf numFmtId="0" fontId="0" fillId="0" borderId="19" pivotButton="0" quotePrefix="0" xfId="0"/>
    <xf numFmtId="0" fontId="3" fillId="2" borderId="2" pivotButton="0" quotePrefix="0" xfId="0"/>
    <xf numFmtId="0" fontId="3" fillId="2" borderId="4" pivotButton="0" quotePrefix="0" xfId="0"/>
    <xf numFmtId="0" fontId="3" fillId="2" borderId="11" pivotButton="0" quotePrefix="0" xfId="0"/>
    <xf numFmtId="0" fontId="3" fillId="2" borderId="13" pivotButton="0" quotePrefix="0" xfId="0"/>
    <xf numFmtId="0" fontId="0" fillId="0" borderId="7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164" fontId="0" fillId="4" borderId="6" applyAlignment="1" pivotButton="0" quotePrefix="0" xfId="0">
      <alignment horizontal="center"/>
    </xf>
    <xf numFmtId="164" fontId="0" fillId="6" borderId="7" applyAlignment="1" pivotButton="0" quotePrefix="0" xfId="0">
      <alignment horizontal="center"/>
    </xf>
    <xf numFmtId="165" fontId="0" fillId="4" borderId="6" applyAlignment="1" pivotButton="0" quotePrefix="0" xfId="0">
      <alignment horizontal="center"/>
    </xf>
    <xf numFmtId="165" fontId="0" fillId="6" borderId="7" applyAlignment="1" pivotButton="0" quotePrefix="0" xfId="0">
      <alignment horizontal="center"/>
    </xf>
    <xf numFmtId="165" fontId="0" fillId="4" borderId="9" applyAlignment="1" pivotButton="0" quotePrefix="0" xfId="0">
      <alignment horizontal="center"/>
    </xf>
    <xf numFmtId="165" fontId="0" fillId="0" borderId="7" pivotButton="0" quotePrefix="0" xfId="0"/>
    <xf numFmtId="166" fontId="0" fillId="0" borderId="10" pivotButton="0" quotePrefix="0" xfId="0"/>
    <xf numFmtId="2" fontId="0" fillId="0" borderId="5" pivotButton="0" quotePrefix="0" xfId="0"/>
    <xf numFmtId="2" fontId="0" fillId="0" borderId="6" pivotButton="0" quotePrefix="0" xfId="0"/>
    <xf numFmtId="2" fontId="0" fillId="0" borderId="8" pivotButton="0" quotePrefix="0" xfId="0"/>
    <xf numFmtId="2" fontId="0" fillId="0" borderId="9" pivotButton="0" quotePrefix="0" xfId="0"/>
    <xf numFmtId="0" fontId="7" fillId="0" borderId="0" pivotButton="0" quotePrefix="0" xfId="0"/>
    <xf numFmtId="0" fontId="6" fillId="0" borderId="0" pivotButton="0" quotePrefix="0" xfId="0"/>
    <xf numFmtId="0" fontId="0" fillId="0" borderId="1" applyAlignment="1" pivotButton="0" quotePrefix="0" xfId="0">
      <alignment vertical="top" wrapText="1"/>
    </xf>
    <xf numFmtId="0" fontId="7" fillId="7" borderId="0" pivotButton="0" quotePrefix="0" xfId="0"/>
    <xf numFmtId="0" fontId="0" fillId="8" borderId="0" pivotButton="0" quotePrefix="0" xfId="0"/>
    <xf numFmtId="0" fontId="8" fillId="0" borderId="0" pivotButton="0" quotePrefix="0" xfId="0"/>
  </cellXfs>
  <cellStyles count="1">
    <cellStyle name="Normal" xfId="0"/>
  </cellStyles>
  <dxfs count="4"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Radios r y R en función de Lt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r [mm]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'Familia de soluciones'!$A$7:$A$57</f>
              <strCache>
                <ptCount val="0"/>
              </strCache>
            </strRef>
          </cat>
          <val>
            <numRef>
              <f>'Familia de soluciones'!$B$7:$B$57</f>
              <numCache>
                <formatCode>0.00</formatCode>
                <ptCount val="0"/>
              </numCache>
            </numRef>
          </val>
          <smooth val="0"/>
        </ser>
        <ser>
          <idx val="1"/>
          <order val="1"/>
          <tx>
            <v>R [mm]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'Familia de soluciones'!$A$7:$A$57</f>
              <strCache>
                <ptCount val="0"/>
              </strCache>
            </strRef>
          </cat>
          <val>
            <numRef>
              <f>'Familia de soluciones'!$C$7:$C$57</f>
              <numCache>
                <formatCode>0.00</formatCode>
                <ptCount val="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5</row>
      <rowOff>0</rowOff>
    </from>
    <to>
      <col>15</col>
      <colOff>0</colOff>
      <row>24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4" customWidth="1" min="4" max="4"/>
    <col width="31" customWidth="1" min="5" max="5"/>
    <col width="18" customWidth="1" min="6" max="6"/>
  </cols>
  <sheetData>
    <row r="1" ht="30" customHeight="1">
      <c r="A1" s="9" t="inlineStr">
        <is>
          <t>Calculadora geométrica de leva–martillo</t>
        </is>
      </c>
      <c r="B1" s="1" t="n"/>
      <c r="C1" s="1" t="n"/>
      <c r="D1" s="1" t="n"/>
      <c r="E1" s="1" t="n"/>
      <c r="F1" s="1" t="n"/>
    </row>
    <row r="3" ht="34" customHeight="1">
      <c r="A3" s="17" t="inlineStr">
        <is>
          <t>Importante: θmín, Hmáx y Lh no alcanzan para obtener una única leva. También debés fijar Ht y una dimensión de escala: Lt o r. La hoja calcula la otra dimensión y luego R.</t>
        </is>
      </c>
      <c r="B3" s="1" t="n"/>
      <c r="C3" s="1" t="n"/>
      <c r="D3" s="1" t="n"/>
      <c r="E3" s="1" t="n"/>
      <c r="F3" s="1" t="n"/>
    </row>
    <row r="4" ht="34" customHeight="1">
      <c r="A4" s="1" t="n"/>
      <c r="B4" s="1" t="n"/>
      <c r="C4" s="1" t="n"/>
      <c r="D4" s="1" t="n"/>
      <c r="E4" s="1" t="n"/>
      <c r="F4" s="1" t="n"/>
    </row>
    <row r="6">
      <c r="A6" s="52" t="inlineStr">
        <is>
          <t>ENTRADAS</t>
        </is>
      </c>
      <c r="B6" s="53" t="inlineStr">
        <is>
          <t>Valor</t>
        </is>
      </c>
      <c r="C6" s="54" t="inlineStr">
        <is>
          <t>Unidad</t>
        </is>
      </c>
      <c r="E6" s="52" t="inlineStr">
        <is>
          <t>RESULTADOS</t>
        </is>
      </c>
      <c r="F6" s="54" t="inlineStr">
        <is>
          <t>Valor</t>
        </is>
      </c>
    </row>
    <row r="7">
      <c r="A7" s="55" t="inlineStr">
        <is>
          <t>Ángulo mínimo θmín</t>
        </is>
      </c>
      <c r="B7" s="114" t="n">
        <v>-20</v>
      </c>
      <c r="C7" s="57" t="inlineStr">
        <is>
          <t>°</t>
        </is>
      </c>
      <c r="E7" s="55" t="inlineStr">
        <is>
          <t>Ángulo máximo θmáx</t>
        </is>
      </c>
      <c r="F7" s="115">
        <f>IFERROR(DEGREES(ASIN(B8/B9)),"")</f>
        <v/>
      </c>
    </row>
    <row r="8">
      <c r="A8" s="55" t="inlineStr">
        <is>
          <t>Altura máxima Hmáx</t>
        </is>
      </c>
      <c r="B8" s="116" t="n">
        <v>300</v>
      </c>
      <c r="C8" s="57" t="inlineStr">
        <is>
          <t>mm</t>
        </is>
      </c>
      <c r="E8" s="55" t="inlineStr">
        <is>
          <t>Ángulo tangente mínimo φmín</t>
        </is>
      </c>
      <c r="F8" s="115">
        <f>B7+90</f>
        <v/>
      </c>
    </row>
    <row r="9">
      <c r="A9" s="55" t="inlineStr">
        <is>
          <t>Longitud del martillo Lh</t>
        </is>
      </c>
      <c r="B9" s="116" t="n">
        <v>850</v>
      </c>
      <c r="C9" s="57" t="inlineStr">
        <is>
          <t>mm</t>
        </is>
      </c>
      <c r="E9" s="55" t="inlineStr">
        <is>
          <t>Ángulo tangente máximo φmáx</t>
        </is>
      </c>
      <c r="F9" s="115">
        <f>F7+90</f>
        <v/>
      </c>
    </row>
    <row r="10">
      <c r="A10" s="55" t="inlineStr">
        <is>
          <t>Altura del centro de la leva Ht</t>
        </is>
      </c>
      <c r="B10" s="116" t="n">
        <v>400</v>
      </c>
      <c r="C10" s="57" t="inlineStr">
        <is>
          <t>mm</t>
        </is>
      </c>
      <c r="E10" s="55" t="inlineStr">
        <is>
          <t>Lt calculado/usado</t>
        </is>
      </c>
      <c r="F10" s="117">
        <f>IF(B11="Fijar Lt",B12,IF(B11="Fijar r",(B13-B10*SIN(RADIANS(B7)))/COS(RADIANS(B7)),""))</f>
        <v/>
      </c>
    </row>
    <row r="11">
      <c r="A11" s="55" t="inlineStr">
        <is>
          <t>Modo de diseño</t>
        </is>
      </c>
      <c r="B11" s="59" t="inlineStr">
        <is>
          <t>Fijar Lt</t>
        </is>
      </c>
      <c r="C11" s="57" t="str"/>
      <c r="E11" s="55" t="inlineStr">
        <is>
          <t>Radio menor r</t>
        </is>
      </c>
      <c r="F11" s="117">
        <f>IF(B11="Fijar r",B13,ABS(F10*COS(RADIANS(B7))+B10*SIN(RADIANS(B7))))</f>
        <v/>
      </c>
    </row>
    <row r="12">
      <c r="A12" s="55" t="inlineStr">
        <is>
          <t>Lt elegido</t>
        </is>
      </c>
      <c r="B12" s="116" t="n">
        <v>250</v>
      </c>
      <c r="C12" s="57" t="inlineStr">
        <is>
          <t>mm</t>
        </is>
      </c>
      <c r="E12" s="55" t="inlineStr">
        <is>
          <t>Radio mayor R</t>
        </is>
      </c>
      <c r="F12" s="117">
        <f>ABS(F10*COS(RADIANS(F7))+B10*SIN(RADIANS(F7)))</f>
        <v/>
      </c>
    </row>
    <row r="13">
      <c r="A13" s="60" t="inlineStr">
        <is>
          <t>r elegido</t>
        </is>
      </c>
      <c r="B13" s="118" t="n">
        <v>100</v>
      </c>
      <c r="C13" s="62" t="inlineStr">
        <is>
          <t>mm</t>
        </is>
      </c>
      <c r="E13" s="55" t="inlineStr">
        <is>
          <t>Distancia pivote-centro d</t>
        </is>
      </c>
      <c r="F13" s="117">
        <f>SQRT(F10^2+B10^2)</f>
        <v/>
      </c>
    </row>
    <row r="14">
      <c r="E14" s="55" t="inlineStr">
        <is>
          <t>Altura mínima Hmín</t>
        </is>
      </c>
      <c r="F14" s="117">
        <f>B9*SIN(RADIANS(B7))</f>
        <v/>
      </c>
    </row>
    <row r="15" ht="28" customHeight="1">
      <c r="A15" s="35" t="inlineStr">
        <is>
          <t>Modo «Fijar Lt»: escribí Lt en B12; B13 se ignora.
Modo «Fijar r»: escribí r en B13; B12 se ignora.
Se usa la rama geométrica ρ = Lt·cos(θ) + Ht·sin(θ).</t>
        </is>
      </c>
      <c r="B15" s="1" t="n"/>
      <c r="C15" s="1" t="n"/>
      <c r="E15" s="55" t="inlineStr">
        <is>
          <t>Recorrido vertical ΔH</t>
        </is>
      </c>
      <c r="F15" s="117">
        <f>B8-F14</f>
        <v/>
      </c>
    </row>
    <row r="16" ht="28" customHeight="1">
      <c r="A16" s="1" t="n"/>
      <c r="C16" s="1" t="n"/>
      <c r="E16" s="55" t="inlineStr">
        <is>
          <t>Diferencia radial R-r</t>
        </is>
      </c>
      <c r="F16" s="117">
        <f>F12-F11</f>
        <v/>
      </c>
    </row>
    <row r="17" ht="28" customHeight="1">
      <c r="A17" s="1" t="n"/>
      <c r="B17" s="1" t="n"/>
      <c r="C17" s="1" t="n"/>
      <c r="E17" s="60" t="inlineStr">
        <is>
          <t>Estado geométrico</t>
        </is>
      </c>
      <c r="F17" s="76">
        <f>IF(OR(B9&lt;=0,B8&lt;0,B8&gt;B9,ABS(B7)&gt;=90,F10&lt;=0,F11&lt;=0,F12&lt;=F11,F12&gt;=F13,(F10*COS(RADIANS(B7))+B10*SIN(RADIANS(B7)))&lt;=0),"REVISAR","VÁLIDO")</f>
        <v/>
      </c>
    </row>
    <row r="19">
      <c r="E19" s="52" t="inlineStr">
        <is>
          <t>COMPROBACIONES</t>
        </is>
      </c>
      <c r="F19" s="54" t="inlineStr">
        <is>
          <t>Valor</t>
        </is>
      </c>
    </row>
    <row r="20">
      <c r="E20" s="55" t="inlineStr">
        <is>
          <t>Hmáx recalculada</t>
        </is>
      </c>
      <c r="F20" s="119">
        <f>B9*SIN(RADIANS(F7))</f>
        <v/>
      </c>
    </row>
    <row r="21">
      <c r="E21" s="55" t="inlineStr">
        <is>
          <t>r por distancia a tangente</t>
        </is>
      </c>
      <c r="F21" s="119">
        <f>ABS(F10*COS(RADIANS(B7))+B10*SIN(RADIANS(B7)))</f>
        <v/>
      </c>
    </row>
    <row r="22">
      <c r="E22" s="55" t="inlineStr">
        <is>
          <t>R por distancia a tangente</t>
        </is>
      </c>
      <c r="F22" s="119">
        <f>ABS(F10*COS(RADIANS(F7))+B10*SIN(RADIANS(F7)))</f>
        <v/>
      </c>
    </row>
    <row r="23">
      <c r="E23" s="60" t="inlineStr">
        <is>
          <t>R/d</t>
        </is>
      </c>
      <c r="F23" s="120">
        <f>F12/F13</f>
        <v/>
      </c>
    </row>
  </sheetData>
  <mergeCells count="3">
    <mergeCell ref="A3:F4"/>
    <mergeCell ref="A1:F1"/>
    <mergeCell ref="A15:C17"/>
  </mergeCells>
  <conditionalFormatting sqref="F17">
    <cfRule type="expression" priority="1" dxfId="0">
      <formula>F17="VÁLIDO"</formula>
    </cfRule>
    <cfRule type="expression" priority="2" dxfId="1">
      <formula>F17="REVISAR"</formula>
    </cfRule>
  </conditionalFormatting>
  <dataValidations count="1">
    <dataValidation sqref="B11" showDropDown="0" showInputMessage="0" showErrorMessage="0" allowBlank="0" type="list">
      <formula1>"Fijar Lt,Fijar 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87" t="inlineStr">
        <is>
          <t>Familia de soluciones posibles según Lt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91" t="inlineStr">
        <is>
          <t>Como el problema no tiene una solución única, esta tabla barre distintos valores de Lt y calcula el r y R correspondientes usando los datos de la hoja Calculadora.</t>
        </is>
      </c>
      <c r="B3" s="1" t="n"/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6">
      <c r="A6" s="52" t="inlineStr">
        <is>
          <t>Lt [mm]</t>
        </is>
      </c>
      <c r="B6" s="53" t="inlineStr">
        <is>
          <t>r [mm]</t>
        </is>
      </c>
      <c r="C6" s="53" t="inlineStr">
        <is>
          <t>R [mm]</t>
        </is>
      </c>
      <c r="D6" s="53" t="inlineStr">
        <is>
          <t>d [mm]</t>
        </is>
      </c>
      <c r="E6" s="53" t="inlineStr">
        <is>
          <t>R-r [mm]</t>
        </is>
      </c>
      <c r="F6" s="54" t="inlineStr">
        <is>
          <t>Estado</t>
        </is>
      </c>
    </row>
    <row r="7">
      <c r="A7" s="121" t="n">
        <v>50</v>
      </c>
      <c r="B7" s="122">
        <f>ABS(A7*COS(RADIANS(Calculadora!$B$7))+Calculadora!$B$10*SIN(RADIANS(Calculadora!$B$7)))</f>
        <v/>
      </c>
      <c r="C7" s="122">
        <f>ABS(A7*COS(RADIANS(Calculadora!$F$7))+Calculadora!$B$10*SIN(RADIANS(Calculadora!$F$7)))</f>
        <v/>
      </c>
      <c r="D7" s="122">
        <f>SQRT(A7^2+Calculadora!$B$10^2)</f>
        <v/>
      </c>
      <c r="E7" s="122">
        <f>C7-B7</f>
        <v/>
      </c>
      <c r="F7" s="96">
        <f>IF(OR(B7&lt;=0,C7&lt;=B7,C7&gt;=D7,(A7*COS(RADIANS(Calculadora!$B$7))+Calculadora!$B$10*SIN(RADIANS(Calculadora!$B$7)))&lt;=0),"REVISAR","VÁLIDO")</f>
        <v/>
      </c>
    </row>
    <row r="8">
      <c r="A8" s="121" t="n">
        <v>60</v>
      </c>
      <c r="B8" s="122">
        <f>ABS(A8*COS(RADIANS(Calculadora!$B$7))+Calculadora!$B$10*SIN(RADIANS(Calculadora!$B$7)))</f>
        <v/>
      </c>
      <c r="C8" s="122">
        <f>ABS(A8*COS(RADIANS(Calculadora!$F$7))+Calculadora!$B$10*SIN(RADIANS(Calculadora!$F$7)))</f>
        <v/>
      </c>
      <c r="D8" s="122">
        <f>SQRT(A8^2+Calculadora!$B$10^2)</f>
        <v/>
      </c>
      <c r="E8" s="122">
        <f>C8-B8</f>
        <v/>
      </c>
      <c r="F8" s="96">
        <f>IF(OR(B8&lt;=0,C8&lt;=B8,C8&gt;=D8,(A8*COS(RADIANS(Calculadora!$B$7))+Calculadora!$B$10*SIN(RADIANS(Calculadora!$B$7)))&lt;=0),"REVISAR","VÁLIDO")</f>
        <v/>
      </c>
    </row>
    <row r="9">
      <c r="A9" s="121" t="n">
        <v>70</v>
      </c>
      <c r="B9" s="122">
        <f>ABS(A9*COS(RADIANS(Calculadora!$B$7))+Calculadora!$B$10*SIN(RADIANS(Calculadora!$B$7)))</f>
        <v/>
      </c>
      <c r="C9" s="122">
        <f>ABS(A9*COS(RADIANS(Calculadora!$F$7))+Calculadora!$B$10*SIN(RADIANS(Calculadora!$F$7)))</f>
        <v/>
      </c>
      <c r="D9" s="122">
        <f>SQRT(A9^2+Calculadora!$B$10^2)</f>
        <v/>
      </c>
      <c r="E9" s="122">
        <f>C9-B9</f>
        <v/>
      </c>
      <c r="F9" s="96">
        <f>IF(OR(B9&lt;=0,C9&lt;=B9,C9&gt;=D9,(A9*COS(RADIANS(Calculadora!$B$7))+Calculadora!$B$10*SIN(RADIANS(Calculadora!$B$7)))&lt;=0),"REVISAR","VÁLIDO")</f>
        <v/>
      </c>
    </row>
    <row r="10">
      <c r="A10" s="121" t="n">
        <v>80</v>
      </c>
      <c r="B10" s="122">
        <f>ABS(A10*COS(RADIANS(Calculadora!$B$7))+Calculadora!$B$10*SIN(RADIANS(Calculadora!$B$7)))</f>
        <v/>
      </c>
      <c r="C10" s="122">
        <f>ABS(A10*COS(RADIANS(Calculadora!$F$7))+Calculadora!$B$10*SIN(RADIANS(Calculadora!$F$7)))</f>
        <v/>
      </c>
      <c r="D10" s="122">
        <f>SQRT(A10^2+Calculadora!$B$10^2)</f>
        <v/>
      </c>
      <c r="E10" s="122">
        <f>C10-B10</f>
        <v/>
      </c>
      <c r="F10" s="96">
        <f>IF(OR(B10&lt;=0,C10&lt;=B10,C10&gt;=D10,(A10*COS(RADIANS(Calculadora!$B$7))+Calculadora!$B$10*SIN(RADIANS(Calculadora!$B$7)))&lt;=0),"REVISAR","VÁLIDO")</f>
        <v/>
      </c>
    </row>
    <row r="11">
      <c r="A11" s="121" t="n">
        <v>90</v>
      </c>
      <c r="B11" s="122">
        <f>ABS(A11*COS(RADIANS(Calculadora!$B$7))+Calculadora!$B$10*SIN(RADIANS(Calculadora!$B$7)))</f>
        <v/>
      </c>
      <c r="C11" s="122">
        <f>ABS(A11*COS(RADIANS(Calculadora!$F$7))+Calculadora!$B$10*SIN(RADIANS(Calculadora!$F$7)))</f>
        <v/>
      </c>
      <c r="D11" s="122">
        <f>SQRT(A11^2+Calculadora!$B$10^2)</f>
        <v/>
      </c>
      <c r="E11" s="122">
        <f>C11-B11</f>
        <v/>
      </c>
      <c r="F11" s="96">
        <f>IF(OR(B11&lt;=0,C11&lt;=B11,C11&gt;=D11,(A11*COS(RADIANS(Calculadora!$B$7))+Calculadora!$B$10*SIN(RADIANS(Calculadora!$B$7)))&lt;=0),"REVISAR","VÁLIDO")</f>
        <v/>
      </c>
    </row>
    <row r="12">
      <c r="A12" s="121" t="n">
        <v>100</v>
      </c>
      <c r="B12" s="122">
        <f>ABS(A12*COS(RADIANS(Calculadora!$B$7))+Calculadora!$B$10*SIN(RADIANS(Calculadora!$B$7)))</f>
        <v/>
      </c>
      <c r="C12" s="122">
        <f>ABS(A12*COS(RADIANS(Calculadora!$F$7))+Calculadora!$B$10*SIN(RADIANS(Calculadora!$F$7)))</f>
        <v/>
      </c>
      <c r="D12" s="122">
        <f>SQRT(A12^2+Calculadora!$B$10^2)</f>
        <v/>
      </c>
      <c r="E12" s="122">
        <f>C12-B12</f>
        <v/>
      </c>
      <c r="F12" s="96">
        <f>IF(OR(B12&lt;=0,C12&lt;=B12,C12&gt;=D12,(A12*COS(RADIANS(Calculadora!$B$7))+Calculadora!$B$10*SIN(RADIANS(Calculadora!$B$7)))&lt;=0),"REVISAR","VÁLIDO")</f>
        <v/>
      </c>
    </row>
    <row r="13">
      <c r="A13" s="121" t="n">
        <v>110</v>
      </c>
      <c r="B13" s="122">
        <f>ABS(A13*COS(RADIANS(Calculadora!$B$7))+Calculadora!$B$10*SIN(RADIANS(Calculadora!$B$7)))</f>
        <v/>
      </c>
      <c r="C13" s="122">
        <f>ABS(A13*COS(RADIANS(Calculadora!$F$7))+Calculadora!$B$10*SIN(RADIANS(Calculadora!$F$7)))</f>
        <v/>
      </c>
      <c r="D13" s="122">
        <f>SQRT(A13^2+Calculadora!$B$10^2)</f>
        <v/>
      </c>
      <c r="E13" s="122">
        <f>C13-B13</f>
        <v/>
      </c>
      <c r="F13" s="96">
        <f>IF(OR(B13&lt;=0,C13&lt;=B13,C13&gt;=D13,(A13*COS(RADIANS(Calculadora!$B$7))+Calculadora!$B$10*SIN(RADIANS(Calculadora!$B$7)))&lt;=0),"REVISAR","VÁLIDO")</f>
        <v/>
      </c>
    </row>
    <row r="14">
      <c r="A14" s="121" t="n">
        <v>120</v>
      </c>
      <c r="B14" s="122">
        <f>ABS(A14*COS(RADIANS(Calculadora!$B$7))+Calculadora!$B$10*SIN(RADIANS(Calculadora!$B$7)))</f>
        <v/>
      </c>
      <c r="C14" s="122">
        <f>ABS(A14*COS(RADIANS(Calculadora!$F$7))+Calculadora!$B$10*SIN(RADIANS(Calculadora!$F$7)))</f>
        <v/>
      </c>
      <c r="D14" s="122">
        <f>SQRT(A14^2+Calculadora!$B$10^2)</f>
        <v/>
      </c>
      <c r="E14" s="122">
        <f>C14-B14</f>
        <v/>
      </c>
      <c r="F14" s="96">
        <f>IF(OR(B14&lt;=0,C14&lt;=B14,C14&gt;=D14,(A14*COS(RADIANS(Calculadora!$B$7))+Calculadora!$B$10*SIN(RADIANS(Calculadora!$B$7)))&lt;=0),"REVISAR","VÁLIDO")</f>
        <v/>
      </c>
    </row>
    <row r="15">
      <c r="A15" s="121" t="n">
        <v>130</v>
      </c>
      <c r="B15" s="122">
        <f>ABS(A15*COS(RADIANS(Calculadora!$B$7))+Calculadora!$B$10*SIN(RADIANS(Calculadora!$B$7)))</f>
        <v/>
      </c>
      <c r="C15" s="122">
        <f>ABS(A15*COS(RADIANS(Calculadora!$F$7))+Calculadora!$B$10*SIN(RADIANS(Calculadora!$F$7)))</f>
        <v/>
      </c>
      <c r="D15" s="122">
        <f>SQRT(A15^2+Calculadora!$B$10^2)</f>
        <v/>
      </c>
      <c r="E15" s="122">
        <f>C15-B15</f>
        <v/>
      </c>
      <c r="F15" s="96">
        <f>IF(OR(B15&lt;=0,C15&lt;=B15,C15&gt;=D15,(A15*COS(RADIANS(Calculadora!$B$7))+Calculadora!$B$10*SIN(RADIANS(Calculadora!$B$7)))&lt;=0),"REVISAR","VÁLIDO")</f>
        <v/>
      </c>
    </row>
    <row r="16">
      <c r="A16" s="121" t="n">
        <v>140</v>
      </c>
      <c r="B16" s="122">
        <f>ABS(A16*COS(RADIANS(Calculadora!$B$7))+Calculadora!$B$10*SIN(RADIANS(Calculadora!$B$7)))</f>
        <v/>
      </c>
      <c r="C16" s="122">
        <f>ABS(A16*COS(RADIANS(Calculadora!$F$7))+Calculadora!$B$10*SIN(RADIANS(Calculadora!$F$7)))</f>
        <v/>
      </c>
      <c r="D16" s="122">
        <f>SQRT(A16^2+Calculadora!$B$10^2)</f>
        <v/>
      </c>
      <c r="E16" s="122">
        <f>C16-B16</f>
        <v/>
      </c>
      <c r="F16" s="96">
        <f>IF(OR(B16&lt;=0,C16&lt;=B16,C16&gt;=D16,(A16*COS(RADIANS(Calculadora!$B$7))+Calculadora!$B$10*SIN(RADIANS(Calculadora!$B$7)))&lt;=0),"REVISAR","VÁLIDO")</f>
        <v/>
      </c>
    </row>
    <row r="17">
      <c r="A17" s="121" t="n">
        <v>150</v>
      </c>
      <c r="B17" s="122">
        <f>ABS(A17*COS(RADIANS(Calculadora!$B$7))+Calculadora!$B$10*SIN(RADIANS(Calculadora!$B$7)))</f>
        <v/>
      </c>
      <c r="C17" s="122">
        <f>ABS(A17*COS(RADIANS(Calculadora!$F$7))+Calculadora!$B$10*SIN(RADIANS(Calculadora!$F$7)))</f>
        <v/>
      </c>
      <c r="D17" s="122">
        <f>SQRT(A17^2+Calculadora!$B$10^2)</f>
        <v/>
      </c>
      <c r="E17" s="122">
        <f>C17-B17</f>
        <v/>
      </c>
      <c r="F17" s="96">
        <f>IF(OR(B17&lt;=0,C17&lt;=B17,C17&gt;=D17,(A17*COS(RADIANS(Calculadora!$B$7))+Calculadora!$B$10*SIN(RADIANS(Calculadora!$B$7)))&lt;=0),"REVISAR","VÁLIDO")</f>
        <v/>
      </c>
    </row>
    <row r="18">
      <c r="A18" s="121" t="n">
        <v>160</v>
      </c>
      <c r="B18" s="122">
        <f>ABS(A18*COS(RADIANS(Calculadora!$B$7))+Calculadora!$B$10*SIN(RADIANS(Calculadora!$B$7)))</f>
        <v/>
      </c>
      <c r="C18" s="122">
        <f>ABS(A18*COS(RADIANS(Calculadora!$F$7))+Calculadora!$B$10*SIN(RADIANS(Calculadora!$F$7)))</f>
        <v/>
      </c>
      <c r="D18" s="122">
        <f>SQRT(A18^2+Calculadora!$B$10^2)</f>
        <v/>
      </c>
      <c r="E18" s="122">
        <f>C18-B18</f>
        <v/>
      </c>
      <c r="F18" s="96">
        <f>IF(OR(B18&lt;=0,C18&lt;=B18,C18&gt;=D18,(A18*COS(RADIANS(Calculadora!$B$7))+Calculadora!$B$10*SIN(RADIANS(Calculadora!$B$7)))&lt;=0),"REVISAR","VÁLIDO")</f>
        <v/>
      </c>
    </row>
    <row r="19">
      <c r="A19" s="121" t="n">
        <v>170</v>
      </c>
      <c r="B19" s="122">
        <f>ABS(A19*COS(RADIANS(Calculadora!$B$7))+Calculadora!$B$10*SIN(RADIANS(Calculadora!$B$7)))</f>
        <v/>
      </c>
      <c r="C19" s="122">
        <f>ABS(A19*COS(RADIANS(Calculadora!$F$7))+Calculadora!$B$10*SIN(RADIANS(Calculadora!$F$7)))</f>
        <v/>
      </c>
      <c r="D19" s="122">
        <f>SQRT(A19^2+Calculadora!$B$10^2)</f>
        <v/>
      </c>
      <c r="E19" s="122">
        <f>C19-B19</f>
        <v/>
      </c>
      <c r="F19" s="96">
        <f>IF(OR(B19&lt;=0,C19&lt;=B19,C19&gt;=D19,(A19*COS(RADIANS(Calculadora!$B$7))+Calculadora!$B$10*SIN(RADIANS(Calculadora!$B$7)))&lt;=0),"REVISAR","VÁLIDO")</f>
        <v/>
      </c>
    </row>
    <row r="20">
      <c r="A20" s="121" t="n">
        <v>180</v>
      </c>
      <c r="B20" s="122">
        <f>ABS(A20*COS(RADIANS(Calculadora!$B$7))+Calculadora!$B$10*SIN(RADIANS(Calculadora!$B$7)))</f>
        <v/>
      </c>
      <c r="C20" s="122">
        <f>ABS(A20*COS(RADIANS(Calculadora!$F$7))+Calculadora!$B$10*SIN(RADIANS(Calculadora!$F$7)))</f>
        <v/>
      </c>
      <c r="D20" s="122">
        <f>SQRT(A20^2+Calculadora!$B$10^2)</f>
        <v/>
      </c>
      <c r="E20" s="122">
        <f>C20-B20</f>
        <v/>
      </c>
      <c r="F20" s="96">
        <f>IF(OR(B20&lt;=0,C20&lt;=B20,C20&gt;=D20,(A20*COS(RADIANS(Calculadora!$B$7))+Calculadora!$B$10*SIN(RADIANS(Calculadora!$B$7)))&lt;=0),"REVISAR","VÁLIDO")</f>
        <v/>
      </c>
    </row>
    <row r="21">
      <c r="A21" s="121" t="n">
        <v>190</v>
      </c>
      <c r="B21" s="122">
        <f>ABS(A21*COS(RADIANS(Calculadora!$B$7))+Calculadora!$B$10*SIN(RADIANS(Calculadora!$B$7)))</f>
        <v/>
      </c>
      <c r="C21" s="122">
        <f>ABS(A21*COS(RADIANS(Calculadora!$F$7))+Calculadora!$B$10*SIN(RADIANS(Calculadora!$F$7)))</f>
        <v/>
      </c>
      <c r="D21" s="122">
        <f>SQRT(A21^2+Calculadora!$B$10^2)</f>
        <v/>
      </c>
      <c r="E21" s="122">
        <f>C21-B21</f>
        <v/>
      </c>
      <c r="F21" s="96">
        <f>IF(OR(B21&lt;=0,C21&lt;=B21,C21&gt;=D21,(A21*COS(RADIANS(Calculadora!$B$7))+Calculadora!$B$10*SIN(RADIANS(Calculadora!$B$7)))&lt;=0),"REVISAR","VÁLIDO")</f>
        <v/>
      </c>
    </row>
    <row r="22">
      <c r="A22" s="121" t="n">
        <v>200</v>
      </c>
      <c r="B22" s="122">
        <f>ABS(A22*COS(RADIANS(Calculadora!$B$7))+Calculadora!$B$10*SIN(RADIANS(Calculadora!$B$7)))</f>
        <v/>
      </c>
      <c r="C22" s="122">
        <f>ABS(A22*COS(RADIANS(Calculadora!$F$7))+Calculadora!$B$10*SIN(RADIANS(Calculadora!$F$7)))</f>
        <v/>
      </c>
      <c r="D22" s="122">
        <f>SQRT(A22^2+Calculadora!$B$10^2)</f>
        <v/>
      </c>
      <c r="E22" s="122">
        <f>C22-B22</f>
        <v/>
      </c>
      <c r="F22" s="96">
        <f>IF(OR(B22&lt;=0,C22&lt;=B22,C22&gt;=D22,(A22*COS(RADIANS(Calculadora!$B$7))+Calculadora!$B$10*SIN(RADIANS(Calculadora!$B$7)))&lt;=0),"REVISAR","VÁLIDO")</f>
        <v/>
      </c>
    </row>
    <row r="23">
      <c r="A23" s="121" t="n">
        <v>210</v>
      </c>
      <c r="B23" s="122">
        <f>ABS(A23*COS(RADIANS(Calculadora!$B$7))+Calculadora!$B$10*SIN(RADIANS(Calculadora!$B$7)))</f>
        <v/>
      </c>
      <c r="C23" s="122">
        <f>ABS(A23*COS(RADIANS(Calculadora!$F$7))+Calculadora!$B$10*SIN(RADIANS(Calculadora!$F$7)))</f>
        <v/>
      </c>
      <c r="D23" s="122">
        <f>SQRT(A23^2+Calculadora!$B$10^2)</f>
        <v/>
      </c>
      <c r="E23" s="122">
        <f>C23-B23</f>
        <v/>
      </c>
      <c r="F23" s="96">
        <f>IF(OR(B23&lt;=0,C23&lt;=B23,C23&gt;=D23,(A23*COS(RADIANS(Calculadora!$B$7))+Calculadora!$B$10*SIN(RADIANS(Calculadora!$B$7)))&lt;=0),"REVISAR","VÁLIDO")</f>
        <v/>
      </c>
    </row>
    <row r="24">
      <c r="A24" s="121" t="n">
        <v>220</v>
      </c>
      <c r="B24" s="122">
        <f>ABS(A24*COS(RADIANS(Calculadora!$B$7))+Calculadora!$B$10*SIN(RADIANS(Calculadora!$B$7)))</f>
        <v/>
      </c>
      <c r="C24" s="122">
        <f>ABS(A24*COS(RADIANS(Calculadora!$F$7))+Calculadora!$B$10*SIN(RADIANS(Calculadora!$F$7)))</f>
        <v/>
      </c>
      <c r="D24" s="122">
        <f>SQRT(A24^2+Calculadora!$B$10^2)</f>
        <v/>
      </c>
      <c r="E24" s="122">
        <f>C24-B24</f>
        <v/>
      </c>
      <c r="F24" s="96">
        <f>IF(OR(B24&lt;=0,C24&lt;=B24,C24&gt;=D24,(A24*COS(RADIANS(Calculadora!$B$7))+Calculadora!$B$10*SIN(RADIANS(Calculadora!$B$7)))&lt;=0),"REVISAR","VÁLIDO")</f>
        <v/>
      </c>
    </row>
    <row r="25">
      <c r="A25" s="121" t="n">
        <v>230</v>
      </c>
      <c r="B25" s="122">
        <f>ABS(A25*COS(RADIANS(Calculadora!$B$7))+Calculadora!$B$10*SIN(RADIANS(Calculadora!$B$7)))</f>
        <v/>
      </c>
      <c r="C25" s="122">
        <f>ABS(A25*COS(RADIANS(Calculadora!$F$7))+Calculadora!$B$10*SIN(RADIANS(Calculadora!$F$7)))</f>
        <v/>
      </c>
      <c r="D25" s="122">
        <f>SQRT(A25^2+Calculadora!$B$10^2)</f>
        <v/>
      </c>
      <c r="E25" s="122">
        <f>C25-B25</f>
        <v/>
      </c>
      <c r="F25" s="96">
        <f>IF(OR(B25&lt;=0,C25&lt;=B25,C25&gt;=D25,(A25*COS(RADIANS(Calculadora!$B$7))+Calculadora!$B$10*SIN(RADIANS(Calculadora!$B$7)))&lt;=0),"REVISAR","VÁLIDO")</f>
        <v/>
      </c>
    </row>
    <row r="26">
      <c r="A26" s="121" t="n">
        <v>240</v>
      </c>
      <c r="B26" s="122">
        <f>ABS(A26*COS(RADIANS(Calculadora!$B$7))+Calculadora!$B$10*SIN(RADIANS(Calculadora!$B$7)))</f>
        <v/>
      </c>
      <c r="C26" s="122">
        <f>ABS(A26*COS(RADIANS(Calculadora!$F$7))+Calculadora!$B$10*SIN(RADIANS(Calculadora!$F$7)))</f>
        <v/>
      </c>
      <c r="D26" s="122">
        <f>SQRT(A26^2+Calculadora!$B$10^2)</f>
        <v/>
      </c>
      <c r="E26" s="122">
        <f>C26-B26</f>
        <v/>
      </c>
      <c r="F26" s="96">
        <f>IF(OR(B26&lt;=0,C26&lt;=B26,C26&gt;=D26,(A26*COS(RADIANS(Calculadora!$B$7))+Calculadora!$B$10*SIN(RADIANS(Calculadora!$B$7)))&lt;=0),"REVISAR","VÁLIDO")</f>
        <v/>
      </c>
    </row>
    <row r="27">
      <c r="A27" s="121" t="n">
        <v>250</v>
      </c>
      <c r="B27" s="122">
        <f>ABS(A27*COS(RADIANS(Calculadora!$B$7))+Calculadora!$B$10*SIN(RADIANS(Calculadora!$B$7)))</f>
        <v/>
      </c>
      <c r="C27" s="122">
        <f>ABS(A27*COS(RADIANS(Calculadora!$F$7))+Calculadora!$B$10*SIN(RADIANS(Calculadora!$F$7)))</f>
        <v/>
      </c>
      <c r="D27" s="122">
        <f>SQRT(A27^2+Calculadora!$B$10^2)</f>
        <v/>
      </c>
      <c r="E27" s="122">
        <f>C27-B27</f>
        <v/>
      </c>
      <c r="F27" s="96">
        <f>IF(OR(B27&lt;=0,C27&lt;=B27,C27&gt;=D27,(A27*COS(RADIANS(Calculadora!$B$7))+Calculadora!$B$10*SIN(RADIANS(Calculadora!$B$7)))&lt;=0),"REVISAR","VÁLIDO")</f>
        <v/>
      </c>
    </row>
    <row r="28">
      <c r="A28" s="121" t="n">
        <v>260</v>
      </c>
      <c r="B28" s="122">
        <f>ABS(A28*COS(RADIANS(Calculadora!$B$7))+Calculadora!$B$10*SIN(RADIANS(Calculadora!$B$7)))</f>
        <v/>
      </c>
      <c r="C28" s="122">
        <f>ABS(A28*COS(RADIANS(Calculadora!$F$7))+Calculadora!$B$10*SIN(RADIANS(Calculadora!$F$7)))</f>
        <v/>
      </c>
      <c r="D28" s="122">
        <f>SQRT(A28^2+Calculadora!$B$10^2)</f>
        <v/>
      </c>
      <c r="E28" s="122">
        <f>C28-B28</f>
        <v/>
      </c>
      <c r="F28" s="96">
        <f>IF(OR(B28&lt;=0,C28&lt;=B28,C28&gt;=D28,(A28*COS(RADIANS(Calculadora!$B$7))+Calculadora!$B$10*SIN(RADIANS(Calculadora!$B$7)))&lt;=0),"REVISAR","VÁLIDO")</f>
        <v/>
      </c>
    </row>
    <row r="29">
      <c r="A29" s="121" t="n">
        <v>270</v>
      </c>
      <c r="B29" s="122">
        <f>ABS(A29*COS(RADIANS(Calculadora!$B$7))+Calculadora!$B$10*SIN(RADIANS(Calculadora!$B$7)))</f>
        <v/>
      </c>
      <c r="C29" s="122">
        <f>ABS(A29*COS(RADIANS(Calculadora!$F$7))+Calculadora!$B$10*SIN(RADIANS(Calculadora!$F$7)))</f>
        <v/>
      </c>
      <c r="D29" s="122">
        <f>SQRT(A29^2+Calculadora!$B$10^2)</f>
        <v/>
      </c>
      <c r="E29" s="122">
        <f>C29-B29</f>
        <v/>
      </c>
      <c r="F29" s="96">
        <f>IF(OR(B29&lt;=0,C29&lt;=B29,C29&gt;=D29,(A29*COS(RADIANS(Calculadora!$B$7))+Calculadora!$B$10*SIN(RADIANS(Calculadora!$B$7)))&lt;=0),"REVISAR","VÁLIDO")</f>
        <v/>
      </c>
    </row>
    <row r="30">
      <c r="A30" s="121" t="n">
        <v>280</v>
      </c>
      <c r="B30" s="122">
        <f>ABS(A30*COS(RADIANS(Calculadora!$B$7))+Calculadora!$B$10*SIN(RADIANS(Calculadora!$B$7)))</f>
        <v/>
      </c>
      <c r="C30" s="122">
        <f>ABS(A30*COS(RADIANS(Calculadora!$F$7))+Calculadora!$B$10*SIN(RADIANS(Calculadora!$F$7)))</f>
        <v/>
      </c>
      <c r="D30" s="122">
        <f>SQRT(A30^2+Calculadora!$B$10^2)</f>
        <v/>
      </c>
      <c r="E30" s="122">
        <f>C30-B30</f>
        <v/>
      </c>
      <c r="F30" s="96">
        <f>IF(OR(B30&lt;=0,C30&lt;=B30,C30&gt;=D30,(A30*COS(RADIANS(Calculadora!$B$7))+Calculadora!$B$10*SIN(RADIANS(Calculadora!$B$7)))&lt;=0),"REVISAR","VÁLIDO")</f>
        <v/>
      </c>
    </row>
    <row r="31">
      <c r="A31" s="121" t="n">
        <v>290</v>
      </c>
      <c r="B31" s="122">
        <f>ABS(A31*COS(RADIANS(Calculadora!$B$7))+Calculadora!$B$10*SIN(RADIANS(Calculadora!$B$7)))</f>
        <v/>
      </c>
      <c r="C31" s="122">
        <f>ABS(A31*COS(RADIANS(Calculadora!$F$7))+Calculadora!$B$10*SIN(RADIANS(Calculadora!$F$7)))</f>
        <v/>
      </c>
      <c r="D31" s="122">
        <f>SQRT(A31^2+Calculadora!$B$10^2)</f>
        <v/>
      </c>
      <c r="E31" s="122">
        <f>C31-B31</f>
        <v/>
      </c>
      <c r="F31" s="96">
        <f>IF(OR(B31&lt;=0,C31&lt;=B31,C31&gt;=D31,(A31*COS(RADIANS(Calculadora!$B$7))+Calculadora!$B$10*SIN(RADIANS(Calculadora!$B$7)))&lt;=0),"REVISAR","VÁLIDO")</f>
        <v/>
      </c>
    </row>
    <row r="32">
      <c r="A32" s="121" t="n">
        <v>300</v>
      </c>
      <c r="B32" s="122">
        <f>ABS(A32*COS(RADIANS(Calculadora!$B$7))+Calculadora!$B$10*SIN(RADIANS(Calculadora!$B$7)))</f>
        <v/>
      </c>
      <c r="C32" s="122">
        <f>ABS(A32*COS(RADIANS(Calculadora!$F$7))+Calculadora!$B$10*SIN(RADIANS(Calculadora!$F$7)))</f>
        <v/>
      </c>
      <c r="D32" s="122">
        <f>SQRT(A32^2+Calculadora!$B$10^2)</f>
        <v/>
      </c>
      <c r="E32" s="122">
        <f>C32-B32</f>
        <v/>
      </c>
      <c r="F32" s="96">
        <f>IF(OR(B32&lt;=0,C32&lt;=B32,C32&gt;=D32,(A32*COS(RADIANS(Calculadora!$B$7))+Calculadora!$B$10*SIN(RADIANS(Calculadora!$B$7)))&lt;=0),"REVISAR","VÁLIDO")</f>
        <v/>
      </c>
    </row>
    <row r="33">
      <c r="A33" s="121" t="n">
        <v>310</v>
      </c>
      <c r="B33" s="122">
        <f>ABS(A33*COS(RADIANS(Calculadora!$B$7))+Calculadora!$B$10*SIN(RADIANS(Calculadora!$B$7)))</f>
        <v/>
      </c>
      <c r="C33" s="122">
        <f>ABS(A33*COS(RADIANS(Calculadora!$F$7))+Calculadora!$B$10*SIN(RADIANS(Calculadora!$F$7)))</f>
        <v/>
      </c>
      <c r="D33" s="122">
        <f>SQRT(A33^2+Calculadora!$B$10^2)</f>
        <v/>
      </c>
      <c r="E33" s="122">
        <f>C33-B33</f>
        <v/>
      </c>
      <c r="F33" s="96">
        <f>IF(OR(B33&lt;=0,C33&lt;=B33,C33&gt;=D33,(A33*COS(RADIANS(Calculadora!$B$7))+Calculadora!$B$10*SIN(RADIANS(Calculadora!$B$7)))&lt;=0),"REVISAR","VÁLIDO")</f>
        <v/>
      </c>
    </row>
    <row r="34">
      <c r="A34" s="121" t="n">
        <v>320</v>
      </c>
      <c r="B34" s="122">
        <f>ABS(A34*COS(RADIANS(Calculadora!$B$7))+Calculadora!$B$10*SIN(RADIANS(Calculadora!$B$7)))</f>
        <v/>
      </c>
      <c r="C34" s="122">
        <f>ABS(A34*COS(RADIANS(Calculadora!$F$7))+Calculadora!$B$10*SIN(RADIANS(Calculadora!$F$7)))</f>
        <v/>
      </c>
      <c r="D34" s="122">
        <f>SQRT(A34^2+Calculadora!$B$10^2)</f>
        <v/>
      </c>
      <c r="E34" s="122">
        <f>C34-B34</f>
        <v/>
      </c>
      <c r="F34" s="96">
        <f>IF(OR(B34&lt;=0,C34&lt;=B34,C34&gt;=D34,(A34*COS(RADIANS(Calculadora!$B$7))+Calculadora!$B$10*SIN(RADIANS(Calculadora!$B$7)))&lt;=0),"REVISAR","VÁLIDO")</f>
        <v/>
      </c>
    </row>
    <row r="35">
      <c r="A35" s="121" t="n">
        <v>330</v>
      </c>
      <c r="B35" s="122">
        <f>ABS(A35*COS(RADIANS(Calculadora!$B$7))+Calculadora!$B$10*SIN(RADIANS(Calculadora!$B$7)))</f>
        <v/>
      </c>
      <c r="C35" s="122">
        <f>ABS(A35*COS(RADIANS(Calculadora!$F$7))+Calculadora!$B$10*SIN(RADIANS(Calculadora!$F$7)))</f>
        <v/>
      </c>
      <c r="D35" s="122">
        <f>SQRT(A35^2+Calculadora!$B$10^2)</f>
        <v/>
      </c>
      <c r="E35" s="122">
        <f>C35-B35</f>
        <v/>
      </c>
      <c r="F35" s="96">
        <f>IF(OR(B35&lt;=0,C35&lt;=B35,C35&gt;=D35,(A35*COS(RADIANS(Calculadora!$B$7))+Calculadora!$B$10*SIN(RADIANS(Calculadora!$B$7)))&lt;=0),"REVISAR","VÁLIDO")</f>
        <v/>
      </c>
    </row>
    <row r="36">
      <c r="A36" s="121" t="n">
        <v>340</v>
      </c>
      <c r="B36" s="122">
        <f>ABS(A36*COS(RADIANS(Calculadora!$B$7))+Calculadora!$B$10*SIN(RADIANS(Calculadora!$B$7)))</f>
        <v/>
      </c>
      <c r="C36" s="122">
        <f>ABS(A36*COS(RADIANS(Calculadora!$F$7))+Calculadora!$B$10*SIN(RADIANS(Calculadora!$F$7)))</f>
        <v/>
      </c>
      <c r="D36" s="122">
        <f>SQRT(A36^2+Calculadora!$B$10^2)</f>
        <v/>
      </c>
      <c r="E36" s="122">
        <f>C36-B36</f>
        <v/>
      </c>
      <c r="F36" s="96">
        <f>IF(OR(B36&lt;=0,C36&lt;=B36,C36&gt;=D36,(A36*COS(RADIANS(Calculadora!$B$7))+Calculadora!$B$10*SIN(RADIANS(Calculadora!$B$7)))&lt;=0),"REVISAR","VÁLIDO")</f>
        <v/>
      </c>
    </row>
    <row r="37">
      <c r="A37" s="121" t="n">
        <v>350</v>
      </c>
      <c r="B37" s="122">
        <f>ABS(A37*COS(RADIANS(Calculadora!$B$7))+Calculadora!$B$10*SIN(RADIANS(Calculadora!$B$7)))</f>
        <v/>
      </c>
      <c r="C37" s="122">
        <f>ABS(A37*COS(RADIANS(Calculadora!$F$7))+Calculadora!$B$10*SIN(RADIANS(Calculadora!$F$7)))</f>
        <v/>
      </c>
      <c r="D37" s="122">
        <f>SQRT(A37^2+Calculadora!$B$10^2)</f>
        <v/>
      </c>
      <c r="E37" s="122">
        <f>C37-B37</f>
        <v/>
      </c>
      <c r="F37" s="96">
        <f>IF(OR(B37&lt;=0,C37&lt;=B37,C37&gt;=D37,(A37*COS(RADIANS(Calculadora!$B$7))+Calculadora!$B$10*SIN(RADIANS(Calculadora!$B$7)))&lt;=0),"REVISAR","VÁLIDO")</f>
        <v/>
      </c>
    </row>
    <row r="38">
      <c r="A38" s="121" t="n">
        <v>360</v>
      </c>
      <c r="B38" s="122">
        <f>ABS(A38*COS(RADIANS(Calculadora!$B$7))+Calculadora!$B$10*SIN(RADIANS(Calculadora!$B$7)))</f>
        <v/>
      </c>
      <c r="C38" s="122">
        <f>ABS(A38*COS(RADIANS(Calculadora!$F$7))+Calculadora!$B$10*SIN(RADIANS(Calculadora!$F$7)))</f>
        <v/>
      </c>
      <c r="D38" s="122">
        <f>SQRT(A38^2+Calculadora!$B$10^2)</f>
        <v/>
      </c>
      <c r="E38" s="122">
        <f>C38-B38</f>
        <v/>
      </c>
      <c r="F38" s="96">
        <f>IF(OR(B38&lt;=0,C38&lt;=B38,C38&gt;=D38,(A38*COS(RADIANS(Calculadora!$B$7))+Calculadora!$B$10*SIN(RADIANS(Calculadora!$B$7)))&lt;=0),"REVISAR","VÁLIDO")</f>
        <v/>
      </c>
    </row>
    <row r="39">
      <c r="A39" s="121" t="n">
        <v>370</v>
      </c>
      <c r="B39" s="122">
        <f>ABS(A39*COS(RADIANS(Calculadora!$B$7))+Calculadora!$B$10*SIN(RADIANS(Calculadora!$B$7)))</f>
        <v/>
      </c>
      <c r="C39" s="122">
        <f>ABS(A39*COS(RADIANS(Calculadora!$F$7))+Calculadora!$B$10*SIN(RADIANS(Calculadora!$F$7)))</f>
        <v/>
      </c>
      <c r="D39" s="122">
        <f>SQRT(A39^2+Calculadora!$B$10^2)</f>
        <v/>
      </c>
      <c r="E39" s="122">
        <f>C39-B39</f>
        <v/>
      </c>
      <c r="F39" s="96">
        <f>IF(OR(B39&lt;=0,C39&lt;=B39,C39&gt;=D39,(A39*COS(RADIANS(Calculadora!$B$7))+Calculadora!$B$10*SIN(RADIANS(Calculadora!$B$7)))&lt;=0),"REVISAR","VÁLIDO")</f>
        <v/>
      </c>
    </row>
    <row r="40">
      <c r="A40" s="121" t="n">
        <v>380</v>
      </c>
      <c r="B40" s="122">
        <f>ABS(A40*COS(RADIANS(Calculadora!$B$7))+Calculadora!$B$10*SIN(RADIANS(Calculadora!$B$7)))</f>
        <v/>
      </c>
      <c r="C40" s="122">
        <f>ABS(A40*COS(RADIANS(Calculadora!$F$7))+Calculadora!$B$10*SIN(RADIANS(Calculadora!$F$7)))</f>
        <v/>
      </c>
      <c r="D40" s="122">
        <f>SQRT(A40^2+Calculadora!$B$10^2)</f>
        <v/>
      </c>
      <c r="E40" s="122">
        <f>C40-B40</f>
        <v/>
      </c>
      <c r="F40" s="96">
        <f>IF(OR(B40&lt;=0,C40&lt;=B40,C40&gt;=D40,(A40*COS(RADIANS(Calculadora!$B$7))+Calculadora!$B$10*SIN(RADIANS(Calculadora!$B$7)))&lt;=0),"REVISAR","VÁLIDO")</f>
        <v/>
      </c>
    </row>
    <row r="41">
      <c r="A41" s="121" t="n">
        <v>390</v>
      </c>
      <c r="B41" s="122">
        <f>ABS(A41*COS(RADIANS(Calculadora!$B$7))+Calculadora!$B$10*SIN(RADIANS(Calculadora!$B$7)))</f>
        <v/>
      </c>
      <c r="C41" s="122">
        <f>ABS(A41*COS(RADIANS(Calculadora!$F$7))+Calculadora!$B$10*SIN(RADIANS(Calculadora!$F$7)))</f>
        <v/>
      </c>
      <c r="D41" s="122">
        <f>SQRT(A41^2+Calculadora!$B$10^2)</f>
        <v/>
      </c>
      <c r="E41" s="122">
        <f>C41-B41</f>
        <v/>
      </c>
      <c r="F41" s="96">
        <f>IF(OR(B41&lt;=0,C41&lt;=B41,C41&gt;=D41,(A41*COS(RADIANS(Calculadora!$B$7))+Calculadora!$B$10*SIN(RADIANS(Calculadora!$B$7)))&lt;=0),"REVISAR","VÁLIDO")</f>
        <v/>
      </c>
    </row>
    <row r="42">
      <c r="A42" s="121" t="n">
        <v>400</v>
      </c>
      <c r="B42" s="122">
        <f>ABS(A42*COS(RADIANS(Calculadora!$B$7))+Calculadora!$B$10*SIN(RADIANS(Calculadora!$B$7)))</f>
        <v/>
      </c>
      <c r="C42" s="122">
        <f>ABS(A42*COS(RADIANS(Calculadora!$F$7))+Calculadora!$B$10*SIN(RADIANS(Calculadora!$F$7)))</f>
        <v/>
      </c>
      <c r="D42" s="122">
        <f>SQRT(A42^2+Calculadora!$B$10^2)</f>
        <v/>
      </c>
      <c r="E42" s="122">
        <f>C42-B42</f>
        <v/>
      </c>
      <c r="F42" s="96">
        <f>IF(OR(B42&lt;=0,C42&lt;=B42,C42&gt;=D42,(A42*COS(RADIANS(Calculadora!$B$7))+Calculadora!$B$10*SIN(RADIANS(Calculadora!$B$7)))&lt;=0),"REVISAR","VÁLIDO")</f>
        <v/>
      </c>
    </row>
    <row r="43">
      <c r="A43" s="121" t="n">
        <v>410</v>
      </c>
      <c r="B43" s="122">
        <f>ABS(A43*COS(RADIANS(Calculadora!$B$7))+Calculadora!$B$10*SIN(RADIANS(Calculadora!$B$7)))</f>
        <v/>
      </c>
      <c r="C43" s="122">
        <f>ABS(A43*COS(RADIANS(Calculadora!$F$7))+Calculadora!$B$10*SIN(RADIANS(Calculadora!$F$7)))</f>
        <v/>
      </c>
      <c r="D43" s="122">
        <f>SQRT(A43^2+Calculadora!$B$10^2)</f>
        <v/>
      </c>
      <c r="E43" s="122">
        <f>C43-B43</f>
        <v/>
      </c>
      <c r="F43" s="96">
        <f>IF(OR(B43&lt;=0,C43&lt;=B43,C43&gt;=D43,(A43*COS(RADIANS(Calculadora!$B$7))+Calculadora!$B$10*SIN(RADIANS(Calculadora!$B$7)))&lt;=0),"REVISAR","VÁLIDO")</f>
        <v/>
      </c>
    </row>
    <row r="44">
      <c r="A44" s="121" t="n">
        <v>420</v>
      </c>
      <c r="B44" s="122">
        <f>ABS(A44*COS(RADIANS(Calculadora!$B$7))+Calculadora!$B$10*SIN(RADIANS(Calculadora!$B$7)))</f>
        <v/>
      </c>
      <c r="C44" s="122">
        <f>ABS(A44*COS(RADIANS(Calculadora!$F$7))+Calculadora!$B$10*SIN(RADIANS(Calculadora!$F$7)))</f>
        <v/>
      </c>
      <c r="D44" s="122">
        <f>SQRT(A44^2+Calculadora!$B$10^2)</f>
        <v/>
      </c>
      <c r="E44" s="122">
        <f>C44-B44</f>
        <v/>
      </c>
      <c r="F44" s="96">
        <f>IF(OR(B44&lt;=0,C44&lt;=B44,C44&gt;=D44,(A44*COS(RADIANS(Calculadora!$B$7))+Calculadora!$B$10*SIN(RADIANS(Calculadora!$B$7)))&lt;=0),"REVISAR","VÁLIDO")</f>
        <v/>
      </c>
    </row>
    <row r="45">
      <c r="A45" s="121" t="n">
        <v>430</v>
      </c>
      <c r="B45" s="122">
        <f>ABS(A45*COS(RADIANS(Calculadora!$B$7))+Calculadora!$B$10*SIN(RADIANS(Calculadora!$B$7)))</f>
        <v/>
      </c>
      <c r="C45" s="122">
        <f>ABS(A45*COS(RADIANS(Calculadora!$F$7))+Calculadora!$B$10*SIN(RADIANS(Calculadora!$F$7)))</f>
        <v/>
      </c>
      <c r="D45" s="122">
        <f>SQRT(A45^2+Calculadora!$B$10^2)</f>
        <v/>
      </c>
      <c r="E45" s="122">
        <f>C45-B45</f>
        <v/>
      </c>
      <c r="F45" s="96">
        <f>IF(OR(B45&lt;=0,C45&lt;=B45,C45&gt;=D45,(A45*COS(RADIANS(Calculadora!$B$7))+Calculadora!$B$10*SIN(RADIANS(Calculadora!$B$7)))&lt;=0),"REVISAR","VÁLIDO")</f>
        <v/>
      </c>
    </row>
    <row r="46">
      <c r="A46" s="121" t="n">
        <v>440</v>
      </c>
      <c r="B46" s="122">
        <f>ABS(A46*COS(RADIANS(Calculadora!$B$7))+Calculadora!$B$10*SIN(RADIANS(Calculadora!$B$7)))</f>
        <v/>
      </c>
      <c r="C46" s="122">
        <f>ABS(A46*COS(RADIANS(Calculadora!$F$7))+Calculadora!$B$10*SIN(RADIANS(Calculadora!$F$7)))</f>
        <v/>
      </c>
      <c r="D46" s="122">
        <f>SQRT(A46^2+Calculadora!$B$10^2)</f>
        <v/>
      </c>
      <c r="E46" s="122">
        <f>C46-B46</f>
        <v/>
      </c>
      <c r="F46" s="96">
        <f>IF(OR(B46&lt;=0,C46&lt;=B46,C46&gt;=D46,(A46*COS(RADIANS(Calculadora!$B$7))+Calculadora!$B$10*SIN(RADIANS(Calculadora!$B$7)))&lt;=0),"REVISAR","VÁLIDO")</f>
        <v/>
      </c>
    </row>
    <row r="47">
      <c r="A47" s="121" t="n">
        <v>450</v>
      </c>
      <c r="B47" s="122">
        <f>ABS(A47*COS(RADIANS(Calculadora!$B$7))+Calculadora!$B$10*SIN(RADIANS(Calculadora!$B$7)))</f>
        <v/>
      </c>
      <c r="C47" s="122">
        <f>ABS(A47*COS(RADIANS(Calculadora!$F$7))+Calculadora!$B$10*SIN(RADIANS(Calculadora!$F$7)))</f>
        <v/>
      </c>
      <c r="D47" s="122">
        <f>SQRT(A47^2+Calculadora!$B$10^2)</f>
        <v/>
      </c>
      <c r="E47" s="122">
        <f>C47-B47</f>
        <v/>
      </c>
      <c r="F47" s="96">
        <f>IF(OR(B47&lt;=0,C47&lt;=B47,C47&gt;=D47,(A47*COS(RADIANS(Calculadora!$B$7))+Calculadora!$B$10*SIN(RADIANS(Calculadora!$B$7)))&lt;=0),"REVISAR","VÁLIDO")</f>
        <v/>
      </c>
    </row>
    <row r="48">
      <c r="A48" s="121" t="n">
        <v>460</v>
      </c>
      <c r="B48" s="122">
        <f>ABS(A48*COS(RADIANS(Calculadora!$B$7))+Calculadora!$B$10*SIN(RADIANS(Calculadora!$B$7)))</f>
        <v/>
      </c>
      <c r="C48" s="122">
        <f>ABS(A48*COS(RADIANS(Calculadora!$F$7))+Calculadora!$B$10*SIN(RADIANS(Calculadora!$F$7)))</f>
        <v/>
      </c>
      <c r="D48" s="122">
        <f>SQRT(A48^2+Calculadora!$B$10^2)</f>
        <v/>
      </c>
      <c r="E48" s="122">
        <f>C48-B48</f>
        <v/>
      </c>
      <c r="F48" s="96">
        <f>IF(OR(B48&lt;=0,C48&lt;=B48,C48&gt;=D48,(A48*COS(RADIANS(Calculadora!$B$7))+Calculadora!$B$10*SIN(RADIANS(Calculadora!$B$7)))&lt;=0),"REVISAR","VÁLIDO")</f>
        <v/>
      </c>
    </row>
    <row r="49">
      <c r="A49" s="121" t="n">
        <v>470</v>
      </c>
      <c r="B49" s="122">
        <f>ABS(A49*COS(RADIANS(Calculadora!$B$7))+Calculadora!$B$10*SIN(RADIANS(Calculadora!$B$7)))</f>
        <v/>
      </c>
      <c r="C49" s="122">
        <f>ABS(A49*COS(RADIANS(Calculadora!$F$7))+Calculadora!$B$10*SIN(RADIANS(Calculadora!$F$7)))</f>
        <v/>
      </c>
      <c r="D49" s="122">
        <f>SQRT(A49^2+Calculadora!$B$10^2)</f>
        <v/>
      </c>
      <c r="E49" s="122">
        <f>C49-B49</f>
        <v/>
      </c>
      <c r="F49" s="96">
        <f>IF(OR(B49&lt;=0,C49&lt;=B49,C49&gt;=D49,(A49*COS(RADIANS(Calculadora!$B$7))+Calculadora!$B$10*SIN(RADIANS(Calculadora!$B$7)))&lt;=0),"REVISAR","VÁLIDO")</f>
        <v/>
      </c>
    </row>
    <row r="50">
      <c r="A50" s="121" t="n">
        <v>480</v>
      </c>
      <c r="B50" s="122">
        <f>ABS(A50*COS(RADIANS(Calculadora!$B$7))+Calculadora!$B$10*SIN(RADIANS(Calculadora!$B$7)))</f>
        <v/>
      </c>
      <c r="C50" s="122">
        <f>ABS(A50*COS(RADIANS(Calculadora!$F$7))+Calculadora!$B$10*SIN(RADIANS(Calculadora!$F$7)))</f>
        <v/>
      </c>
      <c r="D50" s="122">
        <f>SQRT(A50^2+Calculadora!$B$10^2)</f>
        <v/>
      </c>
      <c r="E50" s="122">
        <f>C50-B50</f>
        <v/>
      </c>
      <c r="F50" s="96">
        <f>IF(OR(B50&lt;=0,C50&lt;=B50,C50&gt;=D50,(A50*COS(RADIANS(Calculadora!$B$7))+Calculadora!$B$10*SIN(RADIANS(Calculadora!$B$7)))&lt;=0),"REVISAR","VÁLIDO")</f>
        <v/>
      </c>
    </row>
    <row r="51">
      <c r="A51" s="121" t="n">
        <v>490</v>
      </c>
      <c r="B51" s="122">
        <f>ABS(A51*COS(RADIANS(Calculadora!$B$7))+Calculadora!$B$10*SIN(RADIANS(Calculadora!$B$7)))</f>
        <v/>
      </c>
      <c r="C51" s="122">
        <f>ABS(A51*COS(RADIANS(Calculadora!$F$7))+Calculadora!$B$10*SIN(RADIANS(Calculadora!$F$7)))</f>
        <v/>
      </c>
      <c r="D51" s="122">
        <f>SQRT(A51^2+Calculadora!$B$10^2)</f>
        <v/>
      </c>
      <c r="E51" s="122">
        <f>C51-B51</f>
        <v/>
      </c>
      <c r="F51" s="96">
        <f>IF(OR(B51&lt;=0,C51&lt;=B51,C51&gt;=D51,(A51*COS(RADIANS(Calculadora!$B$7))+Calculadora!$B$10*SIN(RADIANS(Calculadora!$B$7)))&lt;=0),"REVISAR","VÁLIDO")</f>
        <v/>
      </c>
    </row>
    <row r="52">
      <c r="A52" s="121" t="n">
        <v>500</v>
      </c>
      <c r="B52" s="122">
        <f>ABS(A52*COS(RADIANS(Calculadora!$B$7))+Calculadora!$B$10*SIN(RADIANS(Calculadora!$B$7)))</f>
        <v/>
      </c>
      <c r="C52" s="122">
        <f>ABS(A52*COS(RADIANS(Calculadora!$F$7))+Calculadora!$B$10*SIN(RADIANS(Calculadora!$F$7)))</f>
        <v/>
      </c>
      <c r="D52" s="122">
        <f>SQRT(A52^2+Calculadora!$B$10^2)</f>
        <v/>
      </c>
      <c r="E52" s="122">
        <f>C52-B52</f>
        <v/>
      </c>
      <c r="F52" s="96">
        <f>IF(OR(B52&lt;=0,C52&lt;=B52,C52&gt;=D52,(A52*COS(RADIANS(Calculadora!$B$7))+Calculadora!$B$10*SIN(RADIANS(Calculadora!$B$7)))&lt;=0),"REVISAR","VÁLIDO")</f>
        <v/>
      </c>
    </row>
    <row r="53">
      <c r="A53" s="121" t="n">
        <v>510</v>
      </c>
      <c r="B53" s="122">
        <f>ABS(A53*COS(RADIANS(Calculadora!$B$7))+Calculadora!$B$10*SIN(RADIANS(Calculadora!$B$7)))</f>
        <v/>
      </c>
      <c r="C53" s="122">
        <f>ABS(A53*COS(RADIANS(Calculadora!$F$7))+Calculadora!$B$10*SIN(RADIANS(Calculadora!$F$7)))</f>
        <v/>
      </c>
      <c r="D53" s="122">
        <f>SQRT(A53^2+Calculadora!$B$10^2)</f>
        <v/>
      </c>
      <c r="E53" s="122">
        <f>C53-B53</f>
        <v/>
      </c>
      <c r="F53" s="96">
        <f>IF(OR(B53&lt;=0,C53&lt;=B53,C53&gt;=D53,(A53*COS(RADIANS(Calculadora!$B$7))+Calculadora!$B$10*SIN(RADIANS(Calculadora!$B$7)))&lt;=0),"REVISAR","VÁLIDO")</f>
        <v/>
      </c>
    </row>
    <row r="54">
      <c r="A54" s="121" t="n">
        <v>520</v>
      </c>
      <c r="B54" s="122">
        <f>ABS(A54*COS(RADIANS(Calculadora!$B$7))+Calculadora!$B$10*SIN(RADIANS(Calculadora!$B$7)))</f>
        <v/>
      </c>
      <c r="C54" s="122">
        <f>ABS(A54*COS(RADIANS(Calculadora!$F$7))+Calculadora!$B$10*SIN(RADIANS(Calculadora!$F$7)))</f>
        <v/>
      </c>
      <c r="D54" s="122">
        <f>SQRT(A54^2+Calculadora!$B$10^2)</f>
        <v/>
      </c>
      <c r="E54" s="122">
        <f>C54-B54</f>
        <v/>
      </c>
      <c r="F54" s="96">
        <f>IF(OR(B54&lt;=0,C54&lt;=B54,C54&gt;=D54,(A54*COS(RADIANS(Calculadora!$B$7))+Calculadora!$B$10*SIN(RADIANS(Calculadora!$B$7)))&lt;=0),"REVISAR","VÁLIDO")</f>
        <v/>
      </c>
    </row>
    <row r="55">
      <c r="A55" s="121" t="n">
        <v>530</v>
      </c>
      <c r="B55" s="122">
        <f>ABS(A55*COS(RADIANS(Calculadora!$B$7))+Calculadora!$B$10*SIN(RADIANS(Calculadora!$B$7)))</f>
        <v/>
      </c>
      <c r="C55" s="122">
        <f>ABS(A55*COS(RADIANS(Calculadora!$F$7))+Calculadora!$B$10*SIN(RADIANS(Calculadora!$F$7)))</f>
        <v/>
      </c>
      <c r="D55" s="122">
        <f>SQRT(A55^2+Calculadora!$B$10^2)</f>
        <v/>
      </c>
      <c r="E55" s="122">
        <f>C55-B55</f>
        <v/>
      </c>
      <c r="F55" s="96">
        <f>IF(OR(B55&lt;=0,C55&lt;=B55,C55&gt;=D55,(A55*COS(RADIANS(Calculadora!$B$7))+Calculadora!$B$10*SIN(RADIANS(Calculadora!$B$7)))&lt;=0),"REVISAR","VÁLIDO")</f>
        <v/>
      </c>
    </row>
    <row r="56">
      <c r="A56" s="121" t="n">
        <v>540</v>
      </c>
      <c r="B56" s="122">
        <f>ABS(A56*COS(RADIANS(Calculadora!$B$7))+Calculadora!$B$10*SIN(RADIANS(Calculadora!$B$7)))</f>
        <v/>
      </c>
      <c r="C56" s="122">
        <f>ABS(A56*COS(RADIANS(Calculadora!$F$7))+Calculadora!$B$10*SIN(RADIANS(Calculadora!$F$7)))</f>
        <v/>
      </c>
      <c r="D56" s="122">
        <f>SQRT(A56^2+Calculadora!$B$10^2)</f>
        <v/>
      </c>
      <c r="E56" s="122">
        <f>C56-B56</f>
        <v/>
      </c>
      <c r="F56" s="96">
        <f>IF(OR(B56&lt;=0,C56&lt;=B56,C56&gt;=D56,(A56*COS(RADIANS(Calculadora!$B$7))+Calculadora!$B$10*SIN(RADIANS(Calculadora!$B$7)))&lt;=0),"REVISAR","VÁLIDO")</f>
        <v/>
      </c>
    </row>
    <row r="57">
      <c r="A57" s="123" t="n">
        <v>550</v>
      </c>
      <c r="B57" s="124">
        <f>ABS(A57*COS(RADIANS(Calculadora!$B$7))+Calculadora!$B$10*SIN(RADIANS(Calculadora!$B$7)))</f>
        <v/>
      </c>
      <c r="C57" s="124">
        <f>ABS(A57*COS(RADIANS(Calculadora!$F$7))+Calculadora!$B$10*SIN(RADIANS(Calculadora!$F$7)))</f>
        <v/>
      </c>
      <c r="D57" s="124">
        <f>SQRT(A57^2+Calculadora!$B$10^2)</f>
        <v/>
      </c>
      <c r="E57" s="124">
        <f>C57-B57</f>
        <v/>
      </c>
      <c r="F57" s="99">
        <f>IF(OR(B57&lt;=0,C57&lt;=B57,C57&gt;=D57,(A57*COS(RADIANS(Calculadora!$B$7))+Calculadora!$B$10*SIN(RADIANS(Calculadora!$B$7)))&lt;=0),"REVISAR","VÁLIDO")</f>
        <v/>
      </c>
    </row>
  </sheetData>
  <mergeCells count="2">
    <mergeCell ref="A3:H4"/>
    <mergeCell ref="A1:H1"/>
  </mergeCells>
  <conditionalFormatting sqref="F7:F57">
    <cfRule type="expression" priority="1" dxfId="2">
      <formula>F7="VÁLIDO"</formula>
    </cfRule>
    <cfRule type="expression" priority="2" dxfId="3">
      <formula>F7="REVISAR"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87" t="inlineStr">
        <is>
          <t>Ecuaciones utilizadas</t>
        </is>
      </c>
      <c r="B1" s="1" t="n"/>
      <c r="C1" s="1" t="n"/>
      <c r="D1" s="1" t="n"/>
      <c r="E1" s="1" t="n"/>
      <c r="F1" s="1" t="n"/>
    </row>
    <row r="3">
      <c r="A3" s="106" t="inlineStr">
        <is>
          <t>Definición</t>
        </is>
      </c>
      <c r="B3" s="107" t="inlineStr">
        <is>
          <t>Ecuación / explicación</t>
        </is>
      </c>
    </row>
    <row r="4">
      <c r="A4" s="55" t="inlineStr">
        <is>
          <t>Pivote del martillo</t>
        </is>
      </c>
      <c r="B4" s="110" t="inlineStr">
        <is>
          <t>O = (0,0)</t>
        </is>
      </c>
    </row>
    <row r="5">
      <c r="A5" s="55" t="inlineStr">
        <is>
          <t>Centro de la leva</t>
        </is>
      </c>
      <c r="B5" s="110" t="inlineStr">
        <is>
          <t>C = (Lt,Ht)</t>
        </is>
      </c>
    </row>
    <row r="6">
      <c r="A6" s="55" t="inlineStr">
        <is>
          <t>Ángulo de la tangente</t>
        </is>
      </c>
      <c r="B6" s="110" t="inlineStr">
        <is>
          <t>φ = θ + 90°</t>
        </is>
      </c>
    </row>
    <row r="7">
      <c r="A7" s="55" t="inlineStr">
        <is>
          <t>Radio por distancia a la tangente</t>
        </is>
      </c>
      <c r="B7" s="110" t="inlineStr">
        <is>
          <t>ρ = |Lt·cos(θ) + Ht·sin(θ)|</t>
        </is>
      </c>
    </row>
    <row r="8">
      <c r="A8" s="55" t="inlineStr">
        <is>
          <t>Radio menor</t>
        </is>
      </c>
      <c r="B8" s="110" t="inlineStr">
        <is>
          <t>r = |Lt·cos(θmín) + Ht·sin(θmín)|</t>
        </is>
      </c>
    </row>
    <row r="9">
      <c r="A9" s="55" t="inlineStr">
        <is>
          <t>Ángulo máximo</t>
        </is>
      </c>
      <c r="B9" s="110" t="inlineStr">
        <is>
          <t>θmáx = asin(Hmáx/Lh)</t>
        </is>
      </c>
    </row>
    <row r="10">
      <c r="A10" s="55" t="inlineStr">
        <is>
          <t>Radio mayor</t>
        </is>
      </c>
      <c r="B10" s="110" t="inlineStr">
        <is>
          <t>R = |Lt·cos(θmáx) + Ht·sin(θmáx)|</t>
        </is>
      </c>
    </row>
    <row r="11">
      <c r="A11" s="55" t="inlineStr">
        <is>
          <t>Si se fija r</t>
        </is>
      </c>
      <c r="B11" s="110" t="inlineStr">
        <is>
          <t>Lt = [r - Ht·sin(θmín)] / cos(θmín), para la rama elegida</t>
        </is>
      </c>
    </row>
    <row r="12">
      <c r="A12" s="55" t="inlineStr">
        <is>
          <t>Altura mínima</t>
        </is>
      </c>
      <c r="B12" s="110" t="inlineStr">
        <is>
          <t>Hmín = Lh·sin(θmín)</t>
        </is>
      </c>
    </row>
    <row r="13">
      <c r="A13" s="55" t="inlineStr">
        <is>
          <t>Recorrido total</t>
        </is>
      </c>
      <c r="B13" s="110" t="inlineStr">
        <is>
          <t>ΔH = Hmáx - Hmín</t>
        </is>
      </c>
    </row>
    <row r="14">
      <c r="A14" s="60" t="inlineStr">
        <is>
          <t>Condición de tangencia</t>
        </is>
      </c>
      <c r="B14" s="111" t="inlineStr">
        <is>
          <t>0 &lt; r &lt; R &lt; d, con d = sqrt(Lt²+Ht²)</t>
        </is>
      </c>
    </row>
    <row r="16">
      <c r="A16" s="91" t="inlineStr">
        <is>
          <t>Por qué hace falta una dimensión adicional: los ángulos solo fijan relaciones geométricas. Si todas las longitudes Lt, Ht, r y R se multiplican por el mismo factor, los ángulos no cambian. Por eso hay infinitas soluciones semejantes hasta fijar la escala con Ht y con Lt o r.</t>
        </is>
      </c>
      <c r="B16" s="1" t="n"/>
    </row>
    <row r="17">
      <c r="A17" s="1" t="n"/>
      <c r="B17" s="1" t="n"/>
    </row>
    <row r="18">
      <c r="A18" s="1" t="n"/>
      <c r="B18" s="1" t="n"/>
    </row>
    <row r="20">
      <c r="A20" s="125" t="inlineStr">
        <is>
          <t>Ecuaciones agregadas (anchos, masas y caida)</t>
        </is>
      </c>
    </row>
    <row r="21">
      <c r="A21" t="inlineStr">
        <is>
          <t>Masa de una barra</t>
        </is>
      </c>
      <c r="B21" t="inlineStr">
        <is>
          <t>m = rho_material * L * b * e</t>
        </is>
      </c>
    </row>
    <row r="22">
      <c r="A22" t="inlineStr">
        <is>
          <t>Inercia de una barra en el pivote</t>
        </is>
      </c>
      <c r="B22" t="inlineStr">
        <is>
          <t>I = m*L^2/3</t>
        </is>
      </c>
    </row>
    <row r="23">
      <c r="A23" t="inlineStr">
        <is>
          <t>Inercia del mazo en el pivote</t>
        </is>
      </c>
      <c r="B23" t="inlineStr">
        <is>
          <t>I = m*Lh^2 + m*(3*r^2+l^2)/12</t>
        </is>
      </c>
    </row>
    <row r="24">
      <c r="A24" t="inlineStr">
        <is>
          <t>Momento estatico lado martillo</t>
        </is>
      </c>
      <c r="B24" t="inlineStr">
        <is>
          <t>S_h = m_brazo*Lh/2 + m_mazo*Lh</t>
        </is>
      </c>
    </row>
    <row r="25">
      <c r="A25" t="inlineStr">
        <is>
          <t>Momento estatico lado seguidor</t>
        </is>
      </c>
      <c r="B25" t="inlineStr">
        <is>
          <t>S_f = m_seg*Lf/2</t>
        </is>
      </c>
    </row>
    <row r="26">
      <c r="A26" t="inlineStr">
        <is>
          <t>Torque de la gravedad</t>
        </is>
      </c>
      <c r="B26" t="inlineStr">
        <is>
          <t>tau(theta) = -g*(S_h*cos(theta) - S_f*sin(theta))</t>
        </is>
      </c>
    </row>
    <row r="27">
      <c r="A27" t="inlineStr">
        <is>
          <t>Ecuacion del balancin libre</t>
        </is>
      </c>
      <c r="B27" t="inlineStr">
        <is>
          <t>I_O * theta'' = tau(theta)</t>
        </is>
      </c>
    </row>
    <row r="28">
      <c r="A28" t="inlineStr">
        <is>
          <t>Energia liberada</t>
        </is>
      </c>
      <c r="B28" t="inlineStr">
        <is>
          <t>dE = g*[S_h*(sin(th_max)-sin(th_min)) + S_f*(cos(th_max)-cos(th_min))]</t>
        </is>
      </c>
    </row>
    <row r="29">
      <c r="A29" t="inlineStr">
        <is>
          <t>Velocidad angular al impacto</t>
        </is>
      </c>
      <c r="B29" t="inlineStr">
        <is>
          <t>w = sqrt(2*dE/I_O)</t>
        </is>
      </c>
    </row>
    <row r="30">
      <c r="A30" t="inlineStr">
        <is>
          <t>Perfil de la leva (envolvente)</t>
        </is>
      </c>
      <c r="B30" t="inlineStr">
        <is>
          <t>beta = theta - psi + 180deg ; h(beta) = rho(theta) ; p = h*m(beta) + (dh/dbeta)*m_perp(beta)</t>
        </is>
      </c>
    </row>
    <row r="31">
      <c r="A31" t="inlineStr">
        <is>
          <t>Condicion de suelta (rpm minima)</t>
        </is>
      </c>
      <c r="B31" t="inlineStr">
        <is>
          <t>R*w_leva^2 &gt; rho'(th_max) * |alpha(th_max)|</t>
        </is>
      </c>
    </row>
    <row r="32">
      <c r="A32" t="inlineStr">
        <is>
          <t>No separacion durante la subida</t>
        </is>
      </c>
      <c r="B32" t="inlineStr">
        <is>
          <t>I_O*theta''(psi)*w_leva^2 &gt;= tau(theta)  (si no, el seguidor salta)</t>
        </is>
      </c>
    </row>
    <row r="33">
      <c r="A33" t="inlineStr">
        <is>
          <t>Sin interferencia axial</t>
        </is>
      </c>
      <c r="B33" t="inlineStr">
        <is>
          <t>|z_leva - z_brazo| &gt;= (e_leva + e_brazo)/2</t>
        </is>
      </c>
    </row>
  </sheetData>
  <mergeCells count="2">
    <mergeCell ref="A16:B18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9" customWidth="1" min="3" max="3"/>
    <col width="30" customWidth="1" min="5" max="5"/>
  </cols>
  <sheetData>
    <row r="1">
      <c r="A1" s="126" t="inlineStr">
        <is>
          <t>Anchos, espesores y masas</t>
        </is>
      </c>
    </row>
    <row r="3">
      <c r="A3" s="127" t="inlineStr">
        <is>
          <t>Los valores por defecto salen de los STL de Assets/Fusion 360 escalados x10 (los STL son prototipos impresos 1:10). Las celdas amarillas son ENTRADAS.</t>
        </is>
      </c>
      <c r="B3" s="1" t="n"/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6">
      <c r="A6" s="128" t="inlineStr">
        <is>
          <t>ENTRADAS</t>
        </is>
      </c>
      <c r="B6" s="128" t="inlineStr">
        <is>
          <t>Valor</t>
        </is>
      </c>
      <c r="C6" s="128" t="inlineStr">
        <is>
          <t>Unidad</t>
        </is>
      </c>
      <c r="D6" s="128" t="inlineStr"/>
      <c r="E6" s="128" t="inlineStr">
        <is>
          <t>Origen</t>
        </is>
      </c>
    </row>
    <row r="7">
      <c r="A7" t="inlineStr">
        <is>
          <t>Ancho del brazo del martillo b_brazo</t>
        </is>
      </c>
      <c r="B7" s="129" t="n">
        <v>40</v>
      </c>
      <c r="C7" t="inlineStr">
        <is>
          <t>mm</t>
        </is>
      </c>
      <c r="E7" s="130" t="inlineStr">
        <is>
          <t>a definir</t>
        </is>
      </c>
    </row>
    <row r="8">
      <c r="A8" t="inlineStr">
        <is>
          <t>Espesor axial del brazo e_brazo</t>
        </is>
      </c>
      <c r="B8" s="129" t="n">
        <v>100</v>
      </c>
      <c r="C8" t="inlineStr">
        <is>
          <t>mm</t>
        </is>
      </c>
      <c r="E8" s="130" t="inlineStr">
        <is>
          <t>STL Mazo: plato 10 mm x10</t>
        </is>
      </c>
    </row>
    <row r="9">
      <c r="A9" t="inlineStr">
        <is>
          <t>Largo del brazo seguidor Lf</t>
        </is>
      </c>
      <c r="B9" s="129" t="n">
        <v>700</v>
      </c>
      <c r="C9" t="inlineStr">
        <is>
          <t>mm</t>
        </is>
      </c>
      <c r="E9" s="130" t="inlineStr">
        <is>
          <t>para que el contacto entre</t>
        </is>
      </c>
    </row>
    <row r="10">
      <c r="A10" t="inlineStr">
        <is>
          <t>Ancho del seguidor b_seg</t>
        </is>
      </c>
      <c r="B10" s="129" t="n">
        <v>40</v>
      </c>
      <c r="C10" t="inlineStr">
        <is>
          <t>mm</t>
        </is>
      </c>
      <c r="E10" s="130" t="inlineStr">
        <is>
          <t>a definir</t>
        </is>
      </c>
    </row>
    <row r="11">
      <c r="A11" t="inlineStr">
        <is>
          <t>Espesor axial del seguidor e_seg</t>
        </is>
      </c>
      <c r="B11" s="129" t="n">
        <v>100</v>
      </c>
      <c r="C11" t="inlineStr">
        <is>
          <t>mm</t>
        </is>
      </c>
      <c r="E11" s="130" t="inlineStr">
        <is>
          <t>STL x10</t>
        </is>
      </c>
    </row>
    <row r="12">
      <c r="A12" t="inlineStr">
        <is>
          <t>Diametro del mazo d_mazo</t>
        </is>
      </c>
      <c r="B12" s="129" t="n">
        <v>80</v>
      </c>
      <c r="C12" t="inlineStr">
        <is>
          <t>mm</t>
        </is>
      </c>
      <c r="E12" s="130" t="inlineStr">
        <is>
          <t>a definir</t>
        </is>
      </c>
    </row>
    <row r="13">
      <c r="A13" t="inlineStr">
        <is>
          <t>Largo del mazo l_mazo</t>
        </is>
      </c>
      <c r="B13" s="129" t="n">
        <v>120</v>
      </c>
      <c r="C13" t="inlineStr">
        <is>
          <t>mm</t>
        </is>
      </c>
      <c r="E13" s="130" t="inlineStr">
        <is>
          <t>a definir</t>
        </is>
      </c>
    </row>
    <row r="14">
      <c r="A14" t="inlineStr">
        <is>
          <t>Espesor axial de la leva e_leva</t>
        </is>
      </c>
      <c r="B14" s="129" t="n">
        <v>100</v>
      </c>
      <c r="C14" t="inlineStr">
        <is>
          <t>mm</t>
        </is>
      </c>
      <c r="E14" s="130" t="inlineStr">
        <is>
          <t>STL Leva: plato 10 mm x10</t>
        </is>
      </c>
    </row>
    <row r="15">
      <c r="A15" t="inlineStr">
        <is>
          <t>Diametro de los ejes d_eje</t>
        </is>
      </c>
      <c r="B15" s="129" t="n">
        <v>124</v>
      </c>
      <c r="C15" t="inlineStr">
        <is>
          <t>mm</t>
        </is>
      </c>
      <c r="E15" s="130" t="inlineStr">
        <is>
          <t>STL Leva: agujero r=6,19 x10</t>
        </is>
      </c>
    </row>
    <row r="16">
      <c r="A16" t="inlineStr">
        <is>
          <t>Densidad barras y mazo</t>
        </is>
      </c>
      <c r="B16" s="129" t="n">
        <v>7850</v>
      </c>
      <c r="C16" t="inlineStr">
        <is>
          <t>kg/m3</t>
        </is>
      </c>
      <c r="E16" s="130" t="inlineStr">
        <is>
          <t>acero</t>
        </is>
      </c>
    </row>
    <row r="17">
      <c r="A17" t="inlineStr">
        <is>
          <t>Densidad de la leva</t>
        </is>
      </c>
      <c r="B17" s="129" t="n">
        <v>7850</v>
      </c>
      <c r="C17" t="inlineStr">
        <is>
          <t>kg/m3</t>
        </is>
      </c>
      <c r="E17" s="130" t="inlineStr">
        <is>
          <t>acero</t>
        </is>
      </c>
    </row>
    <row r="18">
      <c r="A18" t="inlineStr">
        <is>
          <t>Sector de ascenso de la leva psi_rise</t>
        </is>
      </c>
      <c r="B18" s="129" t="n">
        <v>220</v>
      </c>
      <c r="C18" t="inlineStr">
        <is>
          <t>°</t>
        </is>
      </c>
      <c r="E18" s="130" t="inlineStr">
        <is>
          <t>diseno</t>
        </is>
      </c>
    </row>
    <row r="19">
      <c r="A19" t="inlineStr">
        <is>
          <t>Holgura leva-seguidor en la caida</t>
        </is>
      </c>
      <c r="B19" s="129" t="n">
        <v>10</v>
      </c>
      <c r="C19" t="inlineStr">
        <is>
          <t>mm</t>
        </is>
      </c>
      <c r="E19" s="130" t="inlineStr">
        <is>
          <t>diseno</t>
        </is>
      </c>
    </row>
    <row r="20">
      <c r="A20" t="inlineStr">
        <is>
          <t>Velocidad de giro de la leva</t>
        </is>
      </c>
      <c r="B20" s="129" t="n">
        <v>45</v>
      </c>
      <c r="C20" t="inlineStr">
        <is>
          <t>rpm</t>
        </is>
      </c>
      <c r="E20" s="130" t="inlineStr">
        <is>
          <t>ver hoja Caida libre</t>
        </is>
      </c>
    </row>
    <row r="23">
      <c r="A23" s="128" t="inlineStr">
        <is>
          <t>MASAS E INERCIA</t>
        </is>
      </c>
      <c r="B23" s="128" t="inlineStr">
        <is>
          <t>Valor</t>
        </is>
      </c>
      <c r="C23" s="128" t="inlineStr">
        <is>
          <t>Unidad</t>
        </is>
      </c>
    </row>
    <row r="24">
      <c r="A24" t="inlineStr">
        <is>
          <t>Masa del brazo del martillo</t>
        </is>
      </c>
      <c r="B24">
        <f>Calculadora!B9*B7*B8*1E-9*B16</f>
        <v/>
      </c>
      <c r="C24" t="inlineStr">
        <is>
          <t>kg</t>
        </is>
      </c>
    </row>
    <row r="25">
      <c r="A25" t="inlineStr">
        <is>
          <t>Masa del brazo seguidor</t>
        </is>
      </c>
      <c r="B25">
        <f>B9*B10*B11*1E-9*B16</f>
        <v/>
      </c>
      <c r="C25" t="inlineStr">
        <is>
          <t>kg</t>
        </is>
      </c>
    </row>
    <row r="26">
      <c r="A26" t="inlineStr">
        <is>
          <t>Masa del mazo</t>
        </is>
      </c>
      <c r="B26">
        <f>PI()*(B12/2)^2*B13*1E-9*B16</f>
        <v/>
      </c>
      <c r="C26" t="inlineStr">
        <is>
          <t>kg</t>
        </is>
      </c>
    </row>
    <row r="27">
      <c r="A27" t="inlineStr">
        <is>
          <t>Masa total del balancin</t>
        </is>
      </c>
      <c r="B27">
        <f>B24+B25+B26</f>
        <v/>
      </c>
      <c r="C27" t="inlineStr">
        <is>
          <t>kg</t>
        </is>
      </c>
    </row>
    <row r="28">
      <c r="A28" t="inlineStr">
        <is>
          <t>I del brazo respecto al pivote</t>
        </is>
      </c>
      <c r="B28">
        <f>B24*(Calculadora!B9/1000)^2/3</f>
        <v/>
      </c>
      <c r="C28" t="inlineStr">
        <is>
          <t>kg m2</t>
        </is>
      </c>
    </row>
    <row r="29">
      <c r="A29" t="inlineStr">
        <is>
          <t>I del seguidor respecto al pivote</t>
        </is>
      </c>
      <c r="B29">
        <f>B25*(B9/1000)^2/3</f>
        <v/>
      </c>
      <c r="C29" t="inlineStr">
        <is>
          <t>kg m2</t>
        </is>
      </c>
    </row>
    <row r="30">
      <c r="A30" t="inlineStr">
        <is>
          <t>I del mazo respecto al pivote</t>
        </is>
      </c>
      <c r="B30">
        <f>B26*(Calculadora!B9/1000)^2+B26*(3*(B12/2000)^2+(B13/1000)^2)/12</f>
        <v/>
      </c>
      <c r="C30" t="inlineStr">
        <is>
          <t>kg m2</t>
        </is>
      </c>
    </row>
    <row r="31">
      <c r="A31" t="inlineStr">
        <is>
          <t>I_O total del balancin</t>
        </is>
      </c>
      <c r="B31">
        <f>B28+B29+B30</f>
        <v/>
      </c>
      <c r="C31" t="inlineStr">
        <is>
          <t>kg m2</t>
        </is>
      </c>
    </row>
    <row r="32">
      <c r="A32" t="inlineStr">
        <is>
          <t>Momento estatico lado martillo S_h</t>
        </is>
      </c>
      <c r="B32">
        <f>B24*Calculadora!B9/2000+B26*Calculadora!B9/1000</f>
        <v/>
      </c>
      <c r="C32" t="inlineStr">
        <is>
          <t>kg m</t>
        </is>
      </c>
    </row>
    <row r="33">
      <c r="A33" t="inlineStr">
        <is>
          <t>Momento estatico lado seguidor S_f</t>
        </is>
      </c>
      <c r="B33">
        <f>B25*B9/2000</f>
        <v/>
      </c>
      <c r="C33" t="inlineStr">
        <is>
          <t>kg m</t>
        </is>
      </c>
    </row>
    <row r="36">
      <c r="A36" s="128" t="inlineStr">
        <is>
          <t>ANCHOS DE LA LEVA (perfil)</t>
        </is>
      </c>
      <c r="B36" s="128" t="inlineStr">
        <is>
          <t>Valor</t>
        </is>
      </c>
      <c r="C36" s="128" t="inlineStr">
        <is>
          <t>Unidad</t>
        </is>
      </c>
    </row>
    <row r="37">
      <c r="A37" t="inlineStr">
        <is>
          <t>Radio menor r</t>
        </is>
      </c>
      <c r="B37">
        <f>Calculadora!F11</f>
        <v/>
      </c>
      <c r="C37" t="inlineStr">
        <is>
          <t>mm</t>
        </is>
      </c>
    </row>
    <row r="38">
      <c r="A38" t="inlineStr">
        <is>
          <t>Radio mayor R</t>
        </is>
      </c>
      <c r="B38">
        <f>Calculadora!F12</f>
        <v/>
      </c>
      <c r="C38" t="inlineStr">
        <is>
          <t>mm</t>
        </is>
      </c>
    </row>
    <row r="39">
      <c r="A39" t="inlineStr">
        <is>
          <t>Circulo base (reposo) r_base</t>
        </is>
      </c>
      <c r="B39">
        <f>B37-B19</f>
        <v/>
      </c>
      <c r="C39" t="inlineStr">
        <is>
          <t>mm</t>
        </is>
      </c>
    </row>
    <row r="40">
      <c r="A40" t="inlineStr">
        <is>
          <t>Ancho maximo de la leva (2R)</t>
        </is>
      </c>
      <c r="B40">
        <f>2*B38</f>
        <v/>
      </c>
      <c r="C40" t="inlineStr">
        <is>
          <t>mm</t>
        </is>
      </c>
    </row>
    <row r="41">
      <c r="A41" t="inlineStr">
        <is>
          <t>Volumen aproximado de la leva</t>
        </is>
      </c>
      <c r="B41">
        <f>PI()*((B37+B38)/2)^2*B14*1E-9</f>
        <v/>
      </c>
      <c r="C41" t="inlineStr">
        <is>
          <t>m3</t>
        </is>
      </c>
    </row>
    <row r="42">
      <c r="A42" t="inlineStr">
        <is>
          <t>Masa aproximada de la leva</t>
        </is>
      </c>
      <c r="B42">
        <f>B41*B17</f>
        <v/>
      </c>
      <c r="C42" t="inlineStr">
        <is>
          <t>kg</t>
        </is>
      </c>
    </row>
    <row r="45">
      <c r="A45" s="128" t="inlineStr">
        <is>
          <t>DISPOSICION AXIAL (z)</t>
        </is>
      </c>
      <c r="B45" s="128" t="inlineStr">
        <is>
          <t>Valor</t>
        </is>
      </c>
      <c r="C45" s="128" t="inlineStr">
        <is>
          <t>Unidad</t>
        </is>
      </c>
    </row>
    <row r="46">
      <c r="A46" t="inlineStr">
        <is>
          <t>z de la leva y del seguidor (comparten plano)</t>
        </is>
      </c>
      <c r="B46" s="129" t="n">
        <v>0</v>
      </c>
      <c r="C46" t="inlineStr">
        <is>
          <t>mm</t>
        </is>
      </c>
    </row>
    <row r="47">
      <c r="A47" t="inlineStr">
        <is>
          <t>z del brazo del martillo</t>
        </is>
      </c>
      <c r="B47" s="129" t="n">
        <v>130</v>
      </c>
      <c r="C47" t="inlineStr">
        <is>
          <t>mm</t>
        </is>
      </c>
    </row>
    <row r="48">
      <c r="A48" t="inlineStr">
        <is>
          <t>z minimo necesario (leva/brazo no se tocan)</t>
        </is>
      </c>
      <c r="B48">
        <f>(B14+B8)/2</f>
        <v/>
      </c>
      <c r="C48" t="inlineStr">
        <is>
          <t>mm</t>
        </is>
      </c>
    </row>
    <row r="49">
      <c r="A49" t="inlineStr">
        <is>
          <t>Estado</t>
        </is>
      </c>
      <c r="B49">
        <f>IF(ABS(B47-B46)&gt;=B48,"OK","INTERFIEREN")</f>
        <v/>
      </c>
    </row>
    <row r="50">
      <c r="A50" s="130" t="inlineStr">
        <is>
          <t>La nariz de la leva barre POR ENCIMA del brazo del martillo: si comparten plano axial chocan. El desfase en z es obligatorio.</t>
        </is>
      </c>
    </row>
  </sheetData>
  <mergeCells count="1">
    <mergeCell ref="A3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9" customWidth="1" min="3" max="3"/>
  </cols>
  <sheetData>
    <row r="1">
      <c r="A1" s="126" t="inlineStr">
        <is>
          <t>Suelta y caida libre</t>
        </is>
      </c>
    </row>
    <row r="3">
      <c r="A3" s="127" t="inlineStr">
        <is>
          <t>Energia y velocidad si el mazo cayera libre desde theta_max. La simulacion en Python (src/calculos_modelados/python/leva_martillo) da la caida REAL, que es menor: ver nota abajo.</t>
        </is>
      </c>
      <c r="B3" s="1" t="n"/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6">
      <c r="A6" s="128" t="inlineStr">
        <is>
          <t>CAIDA LIBRE IDEAL</t>
        </is>
      </c>
      <c r="B6" s="128" t="inlineStr">
        <is>
          <t>Valor</t>
        </is>
      </c>
      <c r="C6" s="128" t="inlineStr">
        <is>
          <t>Unidad</t>
        </is>
      </c>
    </row>
    <row r="7">
      <c r="A7" t="inlineStr">
        <is>
          <t>Energia potencial liberada</t>
        </is>
      </c>
      <c r="B7">
        <f>9.80665*('Anchos y masas'!B32*(SIN(RADIANS(Calculadora!F7))-SIN(RADIANS(Calculadora!B7)))+'Anchos y masas'!B33*(COS(RADIANS(Calculadora!F7))-COS(RADIANS(Calculadora!B7))))</f>
        <v/>
      </c>
      <c r="C7" t="inlineStr">
        <is>
          <t>J</t>
        </is>
      </c>
    </row>
    <row r="8">
      <c r="A8" t="inlineStr">
        <is>
          <t>Velocidad angular al impacto</t>
        </is>
      </c>
      <c r="B8">
        <f>SQRT(2*B7/'Anchos y masas'!B31)</f>
        <v/>
      </c>
      <c r="C8" t="inlineStr">
        <is>
          <t>rad/s</t>
        </is>
      </c>
    </row>
    <row r="9">
      <c r="A9" t="inlineStr">
        <is>
          <t>Velocidad del mazo al impacto</t>
        </is>
      </c>
      <c r="B9">
        <f>B8*Calculadora!B9/1000</f>
        <v/>
      </c>
      <c r="C9" t="inlineStr">
        <is>
          <t>m/s</t>
        </is>
      </c>
    </row>
    <row r="10">
      <c r="A10" t="inlineStr">
        <is>
          <t>Tiempo de caida (aprox.)</t>
        </is>
      </c>
      <c r="B10">
        <f>2*(RADIANS(Calculadora!F7)-RADIANS(Calculadora!B7))/B8</f>
        <v/>
      </c>
      <c r="C10" t="inlineStr">
        <is>
          <t>s</t>
        </is>
      </c>
    </row>
    <row r="13">
      <c r="A13" s="128" t="inlineStr">
        <is>
          <t>VENTANA DE VELOCIDAD DE LA LEVA</t>
        </is>
      </c>
      <c r="B13" s="128" t="inlineStr">
        <is>
          <t>Valor</t>
        </is>
      </c>
      <c r="C13" s="128" t="inlineStr">
        <is>
          <t>Unidad</t>
        </is>
      </c>
    </row>
    <row r="14">
      <c r="A14" t="inlineStr">
        <is>
          <t>rpm MINIMA: la nariz alcanza a apartarse</t>
        </is>
      </c>
      <c r="B14">
        <f>SQRT(Calculadora!F21*9.80665*'Anchos y masas'!B32/('Anchos y masas'!B31*Calculadora!F12/1000)/(Calculadora!F12/1000))*60/(2*PI())</f>
        <v/>
      </c>
      <c r="C14" t="inlineStr">
        <is>
          <t>rpm</t>
        </is>
      </c>
    </row>
    <row r="15">
      <c r="A15" t="inlineStr">
        <is>
          <t>rpm elegida</t>
        </is>
      </c>
      <c r="B15">
        <f>'Anchos y masas'!B20</f>
        <v/>
      </c>
      <c r="C15" t="inlineStr">
        <is>
          <t>rpm</t>
        </is>
      </c>
    </row>
    <row r="16">
      <c r="A16" t="inlineStr">
        <is>
          <t>Periodo del ciclo</t>
        </is>
      </c>
      <c r="B16">
        <f>60/B15</f>
        <v/>
      </c>
      <c r="C16" t="inlineStr">
        <is>
          <t>s</t>
        </is>
      </c>
    </row>
    <row r="17">
      <c r="A17" t="inlineStr">
        <is>
          <t>Estado</t>
        </is>
      </c>
      <c r="B17">
        <f>IF(B15&gt;B14,"OK","LA LEVA NO SUELTA")</f>
        <v/>
      </c>
      <c r="C17" t="inlineStr"/>
    </row>
    <row r="20">
      <c r="A20" s="125" t="inlineStr">
        <is>
          <t>LIMITACION DEL SEGUIDOR DE CARA PLANA</t>
        </is>
      </c>
    </row>
    <row r="21">
      <c r="A21" s="127" t="inlineStr">
        <is>
          <t>Una leva que empuja una CARA PLANA tiene que ser convexa: la cara solo puede tocar la envolvente exterior. Una leva convexa no admite un escalon hacia adentro, asi que no puede 'desaparecer' de golpe: al soltar, la superficie se retira a una velocidad limitada por el giro. Resultado: el mazo baja ACOMPANADO por la leva y llega con menos energia que en caida libre (la simulacion da ~68% a 45 rpm). Para caida libre de verdad hace falta cambiar el seguidor: rodillo con desenganche, o un trinquete/escape que libere el balancin. Ver el README de la simulacion.</t>
        </is>
      </c>
      <c r="B21" s="1" t="n"/>
      <c r="C21" s="1" t="n"/>
      <c r="D21" s="1" t="n"/>
      <c r="E21" s="1" t="n"/>
      <c r="F21" s="1" t="n"/>
    </row>
    <row r="22">
      <c r="A22" s="1" t="n"/>
      <c r="F22" s="1" t="n"/>
    </row>
    <row r="23">
      <c r="A23" s="1" t="n"/>
      <c r="F23" s="1" t="n"/>
    </row>
    <row r="24">
      <c r="A24" s="1" t="n"/>
      <c r="F24" s="1" t="n"/>
    </row>
    <row r="25">
      <c r="A25" s="1" t="n"/>
      <c r="F25" s="1" t="n"/>
    </row>
    <row r="26">
      <c r="A26" s="1" t="n"/>
      <c r="F26" s="1" t="n"/>
    </row>
    <row r="27">
      <c r="A27" s="1" t="n"/>
      <c r="F27" s="1" t="n"/>
    </row>
    <row r="28">
      <c r="A28" s="1" t="n"/>
      <c r="B28" s="1" t="n"/>
      <c r="C28" s="1" t="n"/>
      <c r="D28" s="1" t="n"/>
      <c r="E28" s="1" t="n"/>
      <c r="F28" s="1" t="n"/>
    </row>
  </sheetData>
  <mergeCells count="2">
    <mergeCell ref="A3:F4"/>
    <mergeCell ref="A21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2026-07-30T17:30:25Z</dcterms:created>
  <dcterms:modified xsi:type="dcterms:W3CDTF">2026-07-30T17:30:25Z</dcterms:modified>
</cp:coreProperties>
</file>