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a746237d3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dora" sheetId="1" r:id="R554c1ac3b8864270"/>
    <x:sheet xmlns:r="http://schemas.openxmlformats.org/officeDocument/2006/relationships" name="Familia de soluciones" sheetId="2" r:id="R0b0d8dc7739b41e4"/>
    <x:sheet xmlns:r="http://schemas.openxmlformats.org/officeDocument/2006/relationships" name="Ecuaciones" sheetId="3" r:id="Ra457d8a5daf348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&quot;°&quot;"/>
    <x:numFmt numFmtId="201" formatCode="0.00&quot; mm&quot;"/>
    <x:numFmt numFmtId="202" formatCode="0.000"/>
    <x:numFmt numFmtId="203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E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0">
    <x:border/>
    <x:border/>
    <x:border>
      <x:left style="thin">
        <x:color rgb="FFA6A6A6"/>
      </x:left>
      <x:right style="thin">
        <x:color rgb="FFD9D9D9"/>
      </x:right>
      <x:top style="thin">
        <x:color rgb="FFA6A6A6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A6A6A6"/>
      </x:top>
      <x:bottom style="thin">
        <x:color rgb="FFD9D9D9"/>
      </x:bottom>
    </x:border>
    <x:border>
      <x:left style="thin">
        <x:color rgb="FFD9D9D9"/>
      </x:left>
      <x:right style="thin">
        <x:color rgb="FFA6A6A6"/>
      </x:right>
      <x:top style="thin">
        <x:color rgb="FFA6A6A6"/>
      </x:top>
      <x:bottom style="thin">
        <x:color rgb="FFD9D9D9"/>
      </x:bottom>
    </x:border>
    <x:border>
      <x:left style="thin">
        <x:color rgb="FFA6A6A6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A6A6A6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right style="thin">
        <x:color rgb="FFA6A6A6"/>
      </x:right>
      <x:top style="thin">
        <x:color rgb="FFD9D9D9"/>
      </x:top>
      <x:bottom style="thin">
        <x:color rgb="FFA6A6A6"/>
      </x:bottom>
    </x:border>
    <x:border>
      <x:left style="thin">
        <x:color rgb="FFA6A6A6"/>
      </x:left>
      <x:right style="thin">
        <x:color rgb="FFD9D9D9"/>
      </x:right>
      <x:top style="thin">
        <x:color rgb="FFA6A6A6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A6A6A6"/>
      </x:top>
      <x:bottom style="thin">
        <x:color rgb="FFD9D9D9"/>
      </x:bottom>
    </x:border>
    <x:border>
      <x:left style="thin">
        <x:color rgb="FFD9D9D9"/>
      </x:left>
      <x:right style="thin">
        <x:color rgb="FFA6A6A6"/>
      </x:right>
      <x:top style="thin">
        <x:color rgb="FFA6A6A6"/>
      </x:top>
      <x:bottom style="thin">
        <x:color rgb="FFD9D9D9"/>
      </x:bottom>
    </x:border>
    <x:border>
      <x:left style="thin">
        <x:color rgb="FFA6A6A6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A6A6A6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right style="thin">
        <x:color rgb="FFA6A6A6"/>
      </x:right>
      <x:top style="thin">
        <x:color rgb="FFD9D9D9"/>
      </x:top>
      <x:bottom style="thin">
        <x:color rgb="FFA6A6A6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 applyAlignment="1">
      <x:alignment horizontal="center"/>
    </x:xf>
    <x:xf numFmtId="201" fontId="0" fillId="6" borderId="0" xfId="0" applyNumberFormat="1" applyFont="1" applyFill="1" applyBorder="1" applyAlignment="1">
      <x:alignment horizontal="center"/>
    </x:xf>
    <x:xf numFmtId="201" fontId="0" fillId="6" borderId="1" xfId="0" applyNumberFormat="1" applyFont="1" applyFill="1" applyBorder="1" applyAlignment="1">
      <x:alignment horizontal="center"/>
    </x:xf>
    <x:xf numFmtId="200" fontId="0" fillId="4" borderId="0" xfId="0" applyNumberFormat="1" applyFont="1" applyFill="1" applyBorder="1" applyAlignment="1">
      <x:alignment horizontal="center"/>
    </x:xf>
    <x:xf numFmtId="200" fontId="0" fillId="4" borderId="1" xfId="0" applyNumberFormat="1" applyFont="1" applyFill="1" applyBorder="1" applyAlignment="1">
      <x:alignment horizontal="center"/>
    </x:xf>
    <x:xf numFmtId="201" fontId="0" fillId="4" borderId="0" xfId="0" applyNumberFormat="1" applyFont="1" applyFill="1" applyBorder="1" applyAlignment="1">
      <x:alignment horizontal="center"/>
    </x:xf>
    <x:xf numFmtId="201" fontId="0" fillId="4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4" fillId="0" borderId="5" xfId="0" applyNumberFormat="1" applyFont="1" applyFill="1" applyBorder="1"/>
    <x:xf numFmtId="200" fontId="0" fillId="4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201" fontId="0" fillId="4" borderId="6" xfId="0" applyNumberFormat="1" applyFont="1" applyFill="1" applyBorder="1" applyAlignment="1">
      <x:alignment horizontal="center"/>
    </x:xf>
    <x:xf numFmtId="0" fontId="0" fillId="4" borderId="6" xfId="0" applyNumberFormat="1" applyFont="1" applyFill="1" applyBorder="1" applyAlignment="1">
      <x:alignment horizontal="center"/>
    </x:xf>
    <x:xf numFmtId="0" fontId="4" fillId="0" borderId="8" xfId="0" applyNumberFormat="1" applyFont="1" applyFill="1" applyBorder="1"/>
    <x:xf numFmtId="201" fontId="0" fillId="4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3" fillId="2" borderId="11" xfId="0" applyNumberFormat="1" applyFont="1" applyFill="1" applyBorder="1" applyAlignment="1">
      <x:alignment horizontal="center"/>
    </x:xf>
    <x:xf numFmtId="0" fontId="3" fillId="2" borderId="12" xfId="0" applyNumberFormat="1" applyFont="1" applyFill="1" applyBorder="1" applyAlignment="1">
      <x:alignment horizontal="center"/>
    </x:xf>
    <x:xf numFmtId="0" fontId="3" fillId="2" borderId="13" xfId="0" applyNumberFormat="1" applyFont="1" applyFill="1" applyBorder="1" applyAlignment="1">
      <x:alignment horizontal="center"/>
    </x:xf>
    <x:xf numFmtId="0" fontId="4" fillId="0" borderId="14" xfId="0" applyNumberFormat="1" applyFont="1" applyFill="1" applyBorder="1"/>
    <x:xf numFmtId="200" fontId="0" fillId="4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201" fontId="0" fillId="4" borderId="15" xfId="0" applyNumberFormat="1" applyFont="1" applyFill="1" applyBorder="1" applyAlignment="1">
      <x:alignment horizontal="center"/>
    </x:xf>
    <x:xf numFmtId="0" fontId="0" fillId="4" borderId="15" xfId="0" applyNumberFormat="1" applyFont="1" applyFill="1" applyBorder="1" applyAlignment="1">
      <x:alignment horizontal="center"/>
    </x:xf>
    <x:xf numFmtId="0" fontId="4" fillId="0" borderId="17" xfId="0" applyNumberFormat="1" applyFont="1" applyFill="1" applyBorder="1"/>
    <x:xf numFmtId="201" fontId="0" fillId="4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200" fontId="0" fillId="6" borderId="7" xfId="0" applyNumberFormat="1" applyFont="1" applyFill="1" applyBorder="1" applyAlignment="1">
      <x:alignment horizontal="center"/>
    </x:xf>
    <x:xf numFmtId="201" fontId="0" fillId="6" borderId="7" xfId="0" applyNumberFormat="1" applyFont="1" applyFill="1" applyBorder="1" applyAlignment="1">
      <x:alignment horizontal="center"/>
    </x:xf>
    <x:xf numFmtId="0" fontId="0" fillId="6" borderId="10" xfId="0" applyNumberFormat="1" applyFont="1" applyFill="1" applyBorder="1" applyAlignment="1">
      <x:alignment horizontal="center"/>
    </x:xf>
    <x:xf numFmtId="200" fontId="0" fillId="6" borderId="16" xfId="0" applyNumberFormat="1" applyFont="1" applyFill="1" applyBorder="1" applyAlignment="1">
      <x:alignment horizontal="center"/>
    </x:xf>
    <x:xf numFmtId="201" fontId="0" fillId="6" borderId="16" xfId="0" applyNumberFormat="1" applyFont="1" applyFill="1" applyBorder="1" applyAlignment="1">
      <x:alignment horizontal="center"/>
    </x:xf>
    <x:xf numFmtId="0" fontId="0" fillId="6" borderId="19" xfId="0" applyNumberFormat="1" applyFont="1" applyFill="1" applyBorder="1" applyAlignment="1">
      <x:alignment horizontal="center"/>
    </x:xf>
    <x:xf numFmtId="201" fontId="0" fillId="0" borderId="7" xfId="0" applyNumberFormat="1" applyFont="1" applyFill="1" applyBorder="1"/>
    <x:xf numFmtId="202" fontId="0" fillId="0" borderId="10" xfId="0" applyNumberFormat="1" applyFont="1" applyFill="1" applyBorder="1"/>
    <x:xf numFmtId="201" fontId="0" fillId="0" borderId="16" xfId="0" applyNumberFormat="1" applyFont="1" applyFill="1" applyBorder="1"/>
    <x:xf numFmtId="202" fontId="0" fillId="0" borderId="19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5" xfId="0" applyNumberFormat="1" applyFont="1" applyFill="1" applyBorder="1"/>
    <x:xf numFmtId="203" fontId="0" fillId="0" borderId="6" xfId="0" applyNumberFormat="1" applyFont="1" applyFill="1" applyBorder="1"/>
    <x:xf numFmtId="0" fontId="0" fillId="0" borderId="7" xfId="0" applyNumberFormat="1" applyFont="1" applyFill="1" applyBorder="1"/>
    <x:xf numFmtId="203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0" xfId="0" applyNumberFormat="1" applyFont="1" applyFill="1" applyBorder="1"/>
    <x:xf numFmtId="203" fontId="0" fillId="0" borderId="14" xfId="0" applyNumberFormat="1" applyFont="1" applyFill="1" applyBorder="1"/>
    <x:xf numFmtId="203" fontId="0" fillId="0" borderId="15" xfId="0" applyNumberFormat="1" applyFont="1" applyFill="1" applyBorder="1"/>
    <x:xf numFmtId="0" fontId="0" fillId="0" borderId="16" xfId="0" applyNumberFormat="1" applyFont="1" applyFill="1" applyBorder="1"/>
    <x:xf numFmtId="203" fontId="0" fillId="0" borderId="17" xfId="0" applyNumberFormat="1" applyFont="1" applyFill="1" applyBorder="1"/>
    <x:xf numFmtId="203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3" fillId="2" borderId="2" xfId="0" applyNumberFormat="1" applyFont="1" applyFill="1" applyBorder="1"/>
    <x:xf numFmtId="0" fontId="3" fillId="2" borderId="4" xfId="0" applyNumberFormat="1" applyFont="1" applyFill="1" applyBorder="1"/>
    <x:xf numFmtId="0" fontId="3" fillId="2" borderId="11" xfId="0" applyNumberFormat="1" applyFont="1" applyFill="1" applyBorder="1"/>
    <x:xf numFmtId="0" fontId="3" fillId="2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82939289a463e" /><Relationship Type="http://schemas.openxmlformats.org/officeDocument/2006/relationships/theme" Target="/xl/theme/theme1.xml" Id="R2304b092186e4150" /><Relationship Type="http://schemas.openxmlformats.org/officeDocument/2006/relationships/sharedStrings" Target="/xl/sharedStrings.xml" Id="R0915fb223294489b" /><Relationship Type="http://schemas.openxmlformats.org/officeDocument/2006/relationships/worksheet" Target="/xl/worksheets/sheet1.xml" Id="R554c1ac3b8864270" /><Relationship Type="http://schemas.openxmlformats.org/officeDocument/2006/relationships/worksheet" Target="/xl/worksheets/sheet2.xml" Id="R0b0d8dc7739b41e4" /><Relationship Type="http://schemas.openxmlformats.org/officeDocument/2006/relationships/worksheet" Target="/xl/worksheets/sheet3.xml" Id="Ra457d8a5daf348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ae38313aad42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Radios r y R en función de Lt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 [mm]</c:v>
          </c:tx>
          <c:cat>
            <c:strRef>
              <c:f>'Familia de soluciones'!$A$7:$A$57</c:f>
              <c:strCache>
                <c:ptCount val="0"/>
              </c:strCache>
            </c:strRef>
          </c:cat>
          <c:val>
            <c:numRef>
              <c:f>'Familia de soluciones'!$B$7:$B$57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 [mm]</c:v>
          </c:tx>
          <c:cat>
            <c:strRef>
              <c:f>'Familia de soluciones'!$A$7:$A$57</c:f>
              <c:strCache>
                <c:ptCount val="0"/>
              </c:strCache>
            </c:strRef>
          </c:cat>
          <c:val>
            <c:numRef>
              <c:f>'Familia de soluciones'!$C$7:$C$57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ae38313aad425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6a64f563aa64766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3" max="3" width="10" hidden="0" customWidth="1"/>
    <x:col min="4" max="4" width="4" hidden="0" customWidth="1"/>
    <x:col min="5" max="5" width="31" hidden="0" customWidth="1"/>
    <x:col min="6" max="6" width="18" hidden="0" customWidth="1"/>
  </x:cols>
  <x:sheetData>
    <x:row r="1" ht="30" customHeight="1">
      <x:c r="A1" s="5" t="str">
        <x:v>Calculadora geométrica de leva–martillo</x:v>
      </x:c>
      <x:c r="B1" s="5"/>
      <x:c r="C1" s="5"/>
      <x:c r="D1" s="5"/>
      <x:c r="E1" s="5"/>
      <x:c r="F1" s="5"/>
    </x:row>
    <x:row r="3" ht="34" customHeight="1">
      <x:c r="A3" s="13" t="str">
        <x:v>Importante: θmín, Hmáx y Lh no alcanzan para obtener una única leva. También debés fijar Ht y una dimensión de escala: Lt o r. La hoja calcula la otra dimensión y luego R.</x:v>
      </x:c>
      <x:c r="B3" s="13"/>
      <x:c r="C3" s="13"/>
      <x:c r="D3" s="13"/>
      <x:c r="E3" s="13"/>
      <x:c r="F3" s="13"/>
    </x:row>
    <x:row r="4" ht="34" customHeight="1">
      <x:c r="A4" s="13"/>
      <x:c r="B4" s="13"/>
      <x:c r="C4" s="13"/>
      <x:c r="D4" s="13"/>
      <x:c r="E4" s="13"/>
      <x:c r="F4" s="13"/>
    </x:row>
    <x:row r="6">
      <x:c r="A6" s="52" t="str">
        <x:v>ENTRADAS</x:v>
      </x:c>
      <x:c r="B6" s="53" t="str">
        <x:v>Valor</x:v>
      </x:c>
      <x:c r="C6" s="54" t="str">
        <x:v>Unidad</x:v>
      </x:c>
      <x:c r="E6" s="52" t="str">
        <x:v>RESULTADOS</x:v>
      </x:c>
      <x:c r="F6" s="54" t="str">
        <x:v>Valor</x:v>
      </x:c>
    </x:row>
    <x:row r="7">
      <x:c r="A7" s="55" t="str">
        <x:v>Ángulo mínimo θmín</x:v>
      </x:c>
      <x:c r="B7" s="56" t="n">
        <x:v>-20</x:v>
      </x:c>
      <x:c r="C7" s="57" t="str">
        <x:v>°</x:v>
      </x:c>
      <x:c r="E7" s="55" t="str">
        <x:v>Ángulo máximo θmáx</x:v>
      </x:c>
      <x:c r="F7" s="74" t="n">
        <x:f>IFERROR(DEGREES(ASIN(B8/B9)),"")</x:f>
        <x:v>20.667316493512647</x:v>
      </x:c>
    </x:row>
    <x:row r="8">
      <x:c r="A8" s="55" t="str">
        <x:v>Altura máxima Hmáx</x:v>
      </x:c>
      <x:c r="B8" s="58" t="n">
        <x:v>300</x:v>
      </x:c>
      <x:c r="C8" s="57" t="str">
        <x:v>mm</x:v>
      </x:c>
      <x:c r="E8" s="55" t="str">
        <x:v>Ángulo tangente mínimo φmín</x:v>
      </x:c>
      <x:c r="F8" s="74" t="n">
        <x:f>B7+90</x:f>
        <x:v>70</x:v>
      </x:c>
    </x:row>
    <x:row r="9">
      <x:c r="A9" s="55" t="str">
        <x:v>Longitud del martillo Lh</x:v>
      </x:c>
      <x:c r="B9" s="58" t="n">
        <x:v>850</x:v>
      </x:c>
      <x:c r="C9" s="57" t="str">
        <x:v>mm</x:v>
      </x:c>
      <x:c r="E9" s="55" t="str">
        <x:v>Ángulo tangente máximo φmáx</x:v>
      </x:c>
      <x:c r="F9" s="74" t="n">
        <x:f>F7+90</x:f>
        <x:v>110.66731649351264</x:v>
      </x:c>
    </x:row>
    <x:row r="10">
      <x:c r="A10" s="55" t="str">
        <x:v>Altura del centro de la leva Ht</x:v>
      </x:c>
      <x:c r="B10" s="58" t="n">
        <x:v>400</x:v>
      </x:c>
      <x:c r="C10" s="57" t="str">
        <x:v>mm</x:v>
      </x:c>
      <x:c r="E10" s="55" t="str">
        <x:v>Lt calculado/usado</x:v>
      </x:c>
      <x:c r="F10" s="75" t="n">
        <x:f>IF(B11="Fijar Lt",B12,IF(B11="Fijar r",(B13-B10*SIN(RADIANS(B7)))/COS(RADIANS(B7)),""))</x:f>
        <x:v>250</x:v>
      </x:c>
    </x:row>
    <x:row r="11">
      <x:c r="A11" s="55" t="str">
        <x:v>Modo de diseño</x:v>
      </x:c>
      <x:c r="B11" s="59" t="str">
        <x:v>Fijar Lt</x:v>
      </x:c>
      <x:c r="C11" s="57" t="str"/>
      <x:c r="E11" s="55" t="str">
        <x:v>Radio menor r</x:v>
      </x:c>
      <x:c r="F11" s="75" t="n">
        <x:f>IF(B11="Fijar r",B13,ABS(F10*COS(RADIANS(B7))+B10*SIN(RADIANS(B7))))</x:f>
        <x:v>98.11509786620962</x:v>
      </x:c>
    </x:row>
    <x:row r="12">
      <x:c r="A12" s="55" t="str">
        <x:v>Lt elegido</x:v>
      </x:c>
      <x:c r="B12" s="58" t="n">
        <x:v>250</x:v>
      </x:c>
      <x:c r="C12" s="57" t="str">
        <x:v>mm</x:v>
      </x:c>
      <x:c r="E12" s="55" t="str">
        <x:v>Radio mayor R</x:v>
      </x:c>
      <x:c r="F12" s="75" t="n">
        <x:f>ABS(F10*COS(RADIANS(F7))+B10*SIN(RADIANS(F7)))</x:f>
        <x:v>375.0878488321598</x:v>
      </x:c>
    </x:row>
    <x:row r="13">
      <x:c r="A13" s="60" t="str">
        <x:v>r elegido</x:v>
      </x:c>
      <x:c r="B13" s="61" t="n">
        <x:v>100</x:v>
      </x:c>
      <x:c r="C13" s="62" t="str">
        <x:v>mm</x:v>
      </x:c>
      <x:c r="E13" s="55" t="str">
        <x:v>Distancia pivote-centro d</x:v>
      </x:c>
      <x:c r="F13" s="75" t="n">
        <x:f>SQRT(F10^2+B10^2)</x:f>
        <x:v>471.6990566028302</x:v>
      </x:c>
    </x:row>
    <x:row r="14">
      <x:c r="E14" s="55" t="str">
        <x:v>Altura mínima Hmín</x:v>
      </x:c>
      <x:c r="F14" s="75" t="n">
        <x:f>B9*SIN(RADIANS(B7))</x:f>
        <x:v>-290.7171218268184</x:v>
      </x:c>
    </x:row>
    <x:row r="15" ht="28" customHeight="1">
      <x:c r="A15" s="32" t="str">
        <x:v>Modo «Fijar Lt»: escribí Lt en B12; B13 se ignora.
Modo «Fijar r»: escribí r en B13; B12 se ignora.
Se usa la rama geométrica ρ = Lt·cos(θ) + Ht·sin(θ).</x:v>
      </x:c>
      <x:c r="B15" s="32"/>
      <x:c r="C15" s="32"/>
      <x:c r="E15" s="55" t="str">
        <x:v>Recorrido vertical ΔH</x:v>
      </x:c>
      <x:c r="F15" s="75" t="n">
        <x:f>B8-F14</x:f>
        <x:v>590.7171218268184</x:v>
      </x:c>
    </x:row>
    <x:row r="16" ht="28" customHeight="1">
      <x:c r="A16" s="32"/>
      <x:c r="B16" s="32"/>
      <x:c r="C16" s="32"/>
      <x:c r="E16" s="55" t="str">
        <x:v>Diferencia radial R-r</x:v>
      </x:c>
      <x:c r="F16" s="75" t="n">
        <x:f>F12-F11</x:f>
        <x:v>276.9727509659502</x:v>
      </x:c>
    </x:row>
    <x:row r="17" ht="28" customHeight="1">
      <x:c r="A17" s="32"/>
      <x:c r="B17" s="32"/>
      <x:c r="C17" s="32"/>
      <x:c r="E17" s="60" t="str">
        <x:v>Estado geométrico</x:v>
      </x:c>
      <x:c r="F17" s="76" t="str">
        <x:f>IF(OR(B9&lt;=0,B8&lt;0,B8&gt;B9,ABS(B7)&gt;=90,F10&lt;=0,F11&lt;=0,F12&lt;=F11,F12&gt;=F13,(F10*COS(RADIANS(B7))+B10*SIN(RADIANS(B7)))&lt;=0),"REVISAR","VÁLIDO")</x:f>
        <x:v>VÁLIDO</x:v>
      </x:c>
    </x:row>
    <x:row r="19">
      <x:c r="E19" s="52" t="str">
        <x:v>COMPROBACIONES</x:v>
      </x:c>
      <x:c r="F19" s="54" t="str">
        <x:v>Valor</x:v>
      </x:c>
    </x:row>
    <x:row r="20">
      <x:c r="E20" s="55" t="str">
        <x:v>Hmáx recalculada</x:v>
      </x:c>
      <x:c r="F20" s="80" t="n">
        <x:f>B9*SIN(RADIANS(F7))</x:f>
        <x:v>300.00000000000006</x:v>
      </x:c>
    </x:row>
    <x:row r="21">
      <x:c r="E21" s="55" t="str">
        <x:v>r por distancia a tangente</x:v>
      </x:c>
      <x:c r="F21" s="80" t="n">
        <x:f>ABS(F10*COS(RADIANS(B7))+B10*SIN(RADIANS(B7)))</x:f>
        <x:v>98.11509786620962</x:v>
      </x:c>
    </x:row>
    <x:row r="22">
      <x:c r="E22" s="55" t="str">
        <x:v>R por distancia a tangente</x:v>
      </x:c>
      <x:c r="F22" s="80" t="n">
        <x:f>ABS(F10*COS(RADIANS(F7))+B10*SIN(RADIANS(F7)))</x:f>
        <x:v>375.0878488321598</x:v>
      </x:c>
    </x:row>
    <x:row r="23">
      <x:c r="E23" s="60" t="str">
        <x:v>R/d</x:v>
      </x:c>
      <x:c r="F23" s="81" t="n">
        <x:f>F12/F13</x:f>
        <x:v>0.7951846491564708</x:v>
      </x:c>
    </x:row>
  </x:sheetData>
  <x:mergeCells>
    <x:mergeCell ref="A1:F1"/>
    <x:mergeCell ref="A3:F4"/>
    <x:mergeCell ref="A15:C17"/>
  </x:mergeCells>
  <x:conditionalFormatting sqref="F17:F17">
    <x:cfRule type="expression" dxfId="0" priority="1">
      <x:formula>F17="VÁLIDO"</x:formula>
    </x:cfRule>
    <x:cfRule type="expression" dxfId="1" priority="2">
      <x:formula>F17="REVISAR"</x:formula>
    </x:cfRule>
  </x:conditionalFormatting>
  <x:dataValidations count="1">
    <x:dataValidation type="list" sqref="B11">
      <x:formula1>"Fijar Lt,Fijar 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>
      <x:c r="A1" s="85" t="str">
        <x:v>Familia de soluciones posibles según Lt</x:v>
      </x:c>
      <x:c r="B1" s="85"/>
      <x:c r="C1" s="85"/>
      <x:c r="D1" s="85"/>
      <x:c r="E1" s="85"/>
      <x:c r="F1" s="85"/>
      <x:c r="G1" s="85"/>
      <x:c r="H1" s="85"/>
    </x:row>
    <x:row r="3">
      <x:c r="A3" s="89" t="str">
        <x:v>Como el problema no tiene una solución única, esta tabla barre distintos valores de Lt y calcula el r y R correspondientes usando los datos de la hoja Calculadora.</x:v>
      </x:c>
      <x:c r="B3" s="89"/>
      <x:c r="C3" s="89"/>
      <x:c r="D3" s="89"/>
      <x:c r="E3" s="89"/>
      <x:c r="F3" s="89"/>
      <x:c r="G3" s="89"/>
      <x:c r="H3" s="89"/>
    </x:row>
    <x:row r="4">
      <x:c r="A4" s="89"/>
      <x:c r="B4" s="89"/>
      <x:c r="C4" s="89"/>
      <x:c r="D4" s="89"/>
      <x:c r="E4" s="89"/>
      <x:c r="F4" s="89"/>
      <x:c r="G4" s="89"/>
      <x:c r="H4" s="89"/>
    </x:row>
    <x:row r="6">
      <x:c r="A6" s="52" t="str">
        <x:v>Lt [mm]</x:v>
      </x:c>
      <x:c r="B6" s="53" t="str">
        <x:v>r [mm]</x:v>
      </x:c>
      <x:c r="C6" s="53" t="str">
        <x:v>R [mm]</x:v>
      </x:c>
      <x:c r="D6" s="53" t="str">
        <x:v>d [mm]</x:v>
      </x:c>
      <x:c r="E6" s="53" t="str">
        <x:v>R-r [mm]</x:v>
      </x:c>
      <x:c r="F6" s="54" t="str">
        <x:v>Estado</x:v>
      </x:c>
    </x:row>
    <x:row r="7">
      <x:c r="A7" s="94" t="n">
        <x:v>50</x:v>
      </x:c>
      <x:c r="B7" s="95" t="n">
        <x:f>ABS(A7*COS(RADIANS(Calculadora!$B$7))+Calculadora!$B$10*SIN(RADIANS(Calculadora!$B$7)))</x:f>
        <x:v>89.82342629097205</x:v>
      </x:c>
      <x:c r="C7" s="95" t="n">
        <x:f>ABS(A7*COS(RADIANS(Calculadora!$F$7))+Calculadora!$B$10*SIN(RADIANS(Calculadora!$F$7)))</x:f>
        <x:v>187.95874623702022</x:v>
      </x:c>
      <x:c r="D7" s="95" t="n">
        <x:f>SQRT(A7^2+Calculadora!$B$10^2)</x:f>
        <x:v>403.11288741492746</x:v>
      </x:c>
      <x:c r="E7" s="95" t="n">
        <x:f>C7-B7</x:f>
        <x:v>98.13531994604817</x:v>
      </x:c>
      <x:c r="F7" s="96" t="str">
        <x:f>IF(OR(B7&lt;=0,C7&lt;=B7,C7&gt;=D7,(A7*COS(RADIANS(Calculadora!$B$7))+Calculadora!$B$10*SIN(RADIANS(Calculadora!$B$7)))&lt;=0),"REVISAR","VÁLIDO")</x:f>
        <x:v>REVISAR</x:v>
      </x:c>
    </x:row>
    <x:row r="8">
      <x:c r="A8" s="94" t="n">
        <x:v>60</x:v>
      </x:c>
      <x:c r="B8" s="95" t="n">
        <x:f>ABS(A8*COS(RADIANS(Calculadora!$B$7))+Calculadora!$B$10*SIN(RADIANS(Calculadora!$B$7)))</x:f>
        <x:v>80.42650008311297</x:v>
      </x:c>
      <x:c r="C8" s="95" t="n">
        <x:f>ABS(A8*COS(RADIANS(Calculadora!$F$7))+Calculadora!$B$10*SIN(RADIANS(Calculadora!$F$7)))</x:f>
        <x:v>197.31520136677722</x:v>
      </x:c>
      <x:c r="D8" s="95" t="n">
        <x:f>SQRT(A8^2+Calculadora!$B$10^2)</x:f>
        <x:v>404.4749683231337</x:v>
      </x:c>
      <x:c r="E8" s="95" t="n">
        <x:f>C8-B8</x:f>
        <x:v>116.88870128366425</x:v>
      </x:c>
      <x:c r="F8" s="96" t="str">
        <x:f>IF(OR(B8&lt;=0,C8&lt;=B8,C8&gt;=D8,(A8*COS(RADIANS(Calculadora!$B$7))+Calculadora!$B$10*SIN(RADIANS(Calculadora!$B$7)))&lt;=0),"REVISAR","VÁLIDO")</x:f>
        <x:v>REVISAR</x:v>
      </x:c>
    </x:row>
    <x:row r="9">
      <x:c r="A9" s="94" t="n">
        <x:v>70</x:v>
      </x:c>
      <x:c r="B9" s="95" t="n">
        <x:f>ABS(A9*COS(RADIANS(Calculadora!$B$7))+Calculadora!$B$10*SIN(RADIANS(Calculadora!$B$7)))</x:f>
        <x:v>71.02957387525389</x:v>
      </x:c>
      <x:c r="C9" s="95" t="n">
        <x:f>ABS(A9*COS(RADIANS(Calculadora!$F$7))+Calculadora!$B$10*SIN(RADIANS(Calculadora!$F$7)))</x:f>
        <x:v>206.67165649653418</x:v>
      </x:c>
      <x:c r="D9" s="95" t="n">
        <x:f>SQRT(A9^2+Calculadora!$B$10^2)</x:f>
        <x:v>406.07881008493905</x:v>
      </x:c>
      <x:c r="E9" s="95" t="n">
        <x:f>C9-B9</x:f>
        <x:v>135.64208262128028</x:v>
      </x:c>
      <x:c r="F9" s="96" t="str">
        <x:f>IF(OR(B9&lt;=0,C9&lt;=B9,C9&gt;=D9,(A9*COS(RADIANS(Calculadora!$B$7))+Calculadora!$B$10*SIN(RADIANS(Calculadora!$B$7)))&lt;=0),"REVISAR","VÁLIDO")</x:f>
        <x:v>REVISAR</x:v>
      </x:c>
    </x:row>
    <x:row r="10">
      <x:c r="A10" s="94" t="n">
        <x:v>80</x:v>
      </x:c>
      <x:c r="B10" s="95" t="n">
        <x:f>ABS(A10*COS(RADIANS(Calculadora!$B$7))+Calculadora!$B$10*SIN(RADIANS(Calculadora!$B$7)))</x:f>
        <x:v>61.63264766739479</x:v>
      </x:c>
      <x:c r="C10" s="95" t="n">
        <x:f>ABS(A10*COS(RADIANS(Calculadora!$F$7))+Calculadora!$B$10*SIN(RADIANS(Calculadora!$F$7)))</x:f>
        <x:v>216.02811162629118</x:v>
      </x:c>
      <x:c r="D10" s="95" t="n">
        <x:f>SQRT(A10^2+Calculadora!$B$10^2)</x:f>
        <x:v>407.9215610874228</x:v>
      </x:c>
      <x:c r="E10" s="95" t="n">
        <x:f>C10-B10</x:f>
        <x:v>154.39546395889639</x:v>
      </x:c>
      <x:c r="F10" s="96" t="str">
        <x:f>IF(OR(B10&lt;=0,C10&lt;=B10,C10&gt;=D10,(A10*COS(RADIANS(Calculadora!$B$7))+Calculadora!$B$10*SIN(RADIANS(Calculadora!$B$7)))&lt;=0),"REVISAR","VÁLIDO")</x:f>
        <x:v>REVISAR</x:v>
      </x:c>
    </x:row>
    <x:row r="11">
      <x:c r="A11" s="94" t="n">
        <x:v>90</x:v>
      </x:c>
      <x:c r="B11" s="95" t="n">
        <x:f>ABS(A11*COS(RADIANS(Calculadora!$B$7))+Calculadora!$B$10*SIN(RADIANS(Calculadora!$B$7)))</x:f>
        <x:v>52.23572145953571</x:v>
      </x:c>
      <x:c r="C11" s="95" t="n">
        <x:f>ABS(A11*COS(RADIANS(Calculadora!$F$7))+Calculadora!$B$10*SIN(RADIANS(Calculadora!$F$7)))</x:f>
        <x:v>225.38456675604814</x:v>
      </x:c>
      <x:c r="D11" s="95" t="n">
        <x:f>SQRT(A11^2+Calculadora!$B$10^2)</x:f>
        <x:v>410</x:v>
      </x:c>
      <x:c r="E11" s="95" t="n">
        <x:f>C11-B11</x:f>
        <x:v>173.14884529651243</x:v>
      </x:c>
      <x:c r="F11" s="96" t="str">
        <x:f>IF(OR(B11&lt;=0,C11&lt;=B11,C11&gt;=D11,(A11*COS(RADIANS(Calculadora!$B$7))+Calculadora!$B$10*SIN(RADIANS(Calculadora!$B$7)))&lt;=0),"REVISAR","VÁLIDO")</x:f>
        <x:v>REVISAR</x:v>
      </x:c>
    </x:row>
    <x:row r="12">
      <x:c r="A12" s="94" t="n">
        <x:v>100</x:v>
      </x:c>
      <x:c r="B12" s="95" t="n">
        <x:f>ABS(A12*COS(RADIANS(Calculadora!$B$7))+Calculadora!$B$10*SIN(RADIANS(Calculadora!$B$7)))</x:f>
        <x:v>42.83879525167663</x:v>
      </x:c>
      <x:c r="C12" s="95" t="n">
        <x:f>ABS(A12*COS(RADIANS(Calculadora!$F$7))+Calculadora!$B$10*SIN(RADIANS(Calculadora!$F$7)))</x:f>
        <x:v>234.74102188580514</x:v>
      </x:c>
      <x:c r="D12" s="95" t="n">
        <x:f>SQRT(A12^2+Calculadora!$B$10^2)</x:f>
        <x:v>412.31056256176606</x:v>
      </x:c>
      <x:c r="E12" s="95" t="n">
        <x:f>C12-B12</x:f>
        <x:v>191.9022266341285</x:v>
      </x:c>
      <x:c r="F12" s="96" t="str">
        <x:f>IF(OR(B12&lt;=0,C12&lt;=B12,C12&gt;=D12,(A12*COS(RADIANS(Calculadora!$B$7))+Calculadora!$B$10*SIN(RADIANS(Calculadora!$B$7)))&lt;=0),"REVISAR","VÁLIDO")</x:f>
        <x:v>REVISAR</x:v>
      </x:c>
    </x:row>
    <x:row r="13">
      <x:c r="A13" s="94" t="n">
        <x:v>110</x:v>
      </x:c>
      <x:c r="B13" s="95" t="n">
        <x:f>ABS(A13*COS(RADIANS(Calculadora!$B$7))+Calculadora!$B$10*SIN(RADIANS(Calculadora!$B$7)))</x:f>
        <x:v>33.44186904381755</x:v>
      </x:c>
      <x:c r="C13" s="95" t="n">
        <x:f>ABS(A13*COS(RADIANS(Calculadora!$F$7))+Calculadora!$B$10*SIN(RADIANS(Calculadora!$F$7)))</x:f>
        <x:v>244.0974770155621</x:v>
      </x:c>
      <x:c r="D13" s="95" t="n">
        <x:f>SQRT(A13^2+Calculadora!$B$10^2)</x:f>
        <x:v>414.8493702538308</x:v>
      </x:c>
      <x:c r="E13" s="95" t="n">
        <x:f>C13-B13</x:f>
        <x:v>210.65560797174456</x:v>
      </x:c>
      <x:c r="F13" s="96" t="str">
        <x:f>IF(OR(B13&lt;=0,C13&lt;=B13,C13&gt;=D13,(A13*COS(RADIANS(Calculadora!$B$7))+Calculadora!$B$10*SIN(RADIANS(Calculadora!$B$7)))&lt;=0),"REVISAR","VÁLIDO")</x:f>
        <x:v>REVISAR</x:v>
      </x:c>
    </x:row>
    <x:row r="14">
      <x:c r="A14" s="94" t="n">
        <x:v>120</x:v>
      </x:c>
      <x:c r="B14" s="95" t="n">
        <x:f>ABS(A14*COS(RADIANS(Calculadora!$B$7))+Calculadora!$B$10*SIN(RADIANS(Calculadora!$B$7)))</x:f>
        <x:v>24.044942835958466</x:v>
      </x:c>
      <x:c r="C14" s="95" t="n">
        <x:f>ABS(A14*COS(RADIANS(Calculadora!$F$7))+Calculadora!$B$10*SIN(RADIANS(Calculadora!$F$7)))</x:f>
        <x:v>253.45393214531907</x:v>
      </x:c>
      <x:c r="D14" s="95" t="n">
        <x:f>SQRT(A14^2+Calculadora!$B$10^2)</x:f>
        <x:v>417.612260356422</x:v>
      </x:c>
      <x:c r="E14" s="95" t="n">
        <x:f>C14-B14</x:f>
        <x:v>229.4089893093606</x:v>
      </x:c>
      <x:c r="F14" s="96" t="str">
        <x:f>IF(OR(B14&lt;=0,C14&lt;=B14,C14&gt;=D14,(A14*COS(RADIANS(Calculadora!$B$7))+Calculadora!$B$10*SIN(RADIANS(Calculadora!$B$7)))&lt;=0),"REVISAR","VÁLIDO")</x:f>
        <x:v>REVISAR</x:v>
      </x:c>
    </x:row>
    <x:row r="15">
      <x:c r="A15" s="94" t="n">
        <x:v>130</x:v>
      </x:c>
      <x:c r="B15" s="95" t="n">
        <x:f>ABS(A15*COS(RADIANS(Calculadora!$B$7))+Calculadora!$B$10*SIN(RADIANS(Calculadora!$B$7)))</x:f>
        <x:v>14.648016628099384</x:v>
      </x:c>
      <x:c r="C15" s="95" t="n">
        <x:f>ABS(A15*COS(RADIANS(Calculadora!$F$7))+Calculadora!$B$10*SIN(RADIANS(Calculadora!$F$7)))</x:f>
        <x:v>262.8103872750761</x:v>
      </x:c>
      <x:c r="D15" s="95" t="n">
        <x:f>SQRT(A15^2+Calculadora!$B$10^2)</x:f>
        <x:v>420.5948168962618</x:v>
      </x:c>
      <x:c r="E15" s="95" t="n">
        <x:f>C15-B15</x:f>
        <x:v>248.1623706469767</x:v>
      </x:c>
      <x:c r="F15" s="96" t="str">
        <x:f>IF(OR(B15&lt;=0,C15&lt;=B15,C15&gt;=D15,(A15*COS(RADIANS(Calculadora!$B$7))+Calculadora!$B$10*SIN(RADIANS(Calculadora!$B$7)))&lt;=0),"REVISAR","VÁLIDO")</x:f>
        <x:v>REVISAR</x:v>
      </x:c>
    </x:row>
    <x:row r="16">
      <x:c r="A16" s="94" t="n">
        <x:v>140</x:v>
      </x:c>
      <x:c r="B16" s="95" t="n">
        <x:f>ABS(A16*COS(RADIANS(Calculadora!$B$7))+Calculadora!$B$10*SIN(RADIANS(Calculadora!$B$7)))</x:f>
        <x:v>5.251090420240303</x:v>
      </x:c>
      <x:c r="C16" s="95" t="n">
        <x:f>ABS(A16*COS(RADIANS(Calculadora!$F$7))+Calculadora!$B$10*SIN(RADIANS(Calculadora!$F$7)))</x:f>
        <x:v>272.16684240483306</x:v>
      </x:c>
      <x:c r="D16" s="95" t="n">
        <x:f>SQRT(A16^2+Calculadora!$B$10^2)</x:f>
        <x:v>423.7924020083418</x:v>
      </x:c>
      <x:c r="E16" s="95" t="n">
        <x:f>C16-B16</x:f>
        <x:v>266.91575198459276</x:v>
      </x:c>
      <x:c r="F16" s="96" t="str">
        <x:f>IF(OR(B16&lt;=0,C16&lt;=B16,C16&gt;=D16,(A16*COS(RADIANS(Calculadora!$B$7))+Calculadora!$B$10*SIN(RADIANS(Calculadora!$B$7)))&lt;=0),"REVISAR","VÁLIDO")</x:f>
        <x:v>REVISAR</x:v>
      </x:c>
    </x:row>
    <x:row r="17">
      <x:c r="A17" s="94" t="n">
        <x:v>150</x:v>
      </x:c>
      <x:c r="B17" s="95" t="n">
        <x:f>ABS(A17*COS(RADIANS(Calculadora!$B$7))+Calculadora!$B$10*SIN(RADIANS(Calculadora!$B$7)))</x:f>
        <x:v>4.145835787618779</x:v>
      </x:c>
      <x:c r="C17" s="95" t="n">
        <x:f>ABS(A17*COS(RADIANS(Calculadora!$F$7))+Calculadora!$B$10*SIN(RADIANS(Calculadora!$F$7)))</x:f>
        <x:v>281.52329753459003</x:v>
      </x:c>
      <x:c r="D17" s="95" t="n">
        <x:f>SQRT(A17^2+Calculadora!$B$10^2)</x:f>
        <x:v>427.20018726587654</x:v>
      </x:c>
      <x:c r="E17" s="95" t="n">
        <x:f>C17-B17</x:f>
        <x:v>277.3774617469712</x:v>
      </x:c>
      <x:c r="F17" s="96" t="str">
        <x:f>IF(OR(B17&lt;=0,C17&lt;=B17,C17&gt;=D17,(A17*COS(RADIANS(Calculadora!$B$7))+Calculadora!$B$10*SIN(RADIANS(Calculadora!$B$7)))&lt;=0),"REVISAR","VÁLIDO")</x:f>
        <x:v>VÁLIDO</x:v>
      </x:c>
    </x:row>
    <x:row r="18">
      <x:c r="A18" s="94" t="n">
        <x:v>160</x:v>
      </x:c>
      <x:c r="B18" s="95" t="n">
        <x:f>ABS(A18*COS(RADIANS(Calculadora!$B$7))+Calculadora!$B$10*SIN(RADIANS(Calculadora!$B$7)))</x:f>
        <x:v>13.542761995477889</x:v>
      </x:c>
      <x:c r="C18" s="95" t="n">
        <x:f>ABS(A18*COS(RADIANS(Calculadora!$F$7))+Calculadora!$B$10*SIN(RADIANS(Calculadora!$F$7)))</x:f>
        <x:v>290.87975266434705</x:v>
      </x:c>
      <x:c r="D18" s="95" t="n">
        <x:f>SQRT(A18^2+Calculadora!$B$10^2)</x:f>
        <x:v>430.8131845707603</x:v>
      </x:c>
      <x:c r="E18" s="95" t="n">
        <x:f>C18-B18</x:f>
        <x:v>277.33699066886913</x:v>
      </x:c>
      <x:c r="F18" s="96" t="str">
        <x:f>IF(OR(B18&lt;=0,C18&lt;=B18,C18&gt;=D18,(A18*COS(RADIANS(Calculadora!$B$7))+Calculadora!$B$10*SIN(RADIANS(Calculadora!$B$7)))&lt;=0),"REVISAR","VÁLIDO")</x:f>
        <x:v>VÁLIDO</x:v>
      </x:c>
    </x:row>
    <x:row r="19">
      <x:c r="A19" s="94" t="n">
        <x:v>170</x:v>
      </x:c>
      <x:c r="B19" s="95" t="n">
        <x:f>ABS(A19*COS(RADIANS(Calculadora!$B$7))+Calculadora!$B$10*SIN(RADIANS(Calculadora!$B$7)))</x:f>
        <x:v>22.93968820333697</x:v>
      </x:c>
      <x:c r="C19" s="95" t="n">
        <x:f>ABS(A19*COS(RADIANS(Calculadora!$F$7))+Calculadora!$B$10*SIN(RADIANS(Calculadora!$F$7)))</x:f>
        <x:v>300.23620779410396</x:v>
      </x:c>
      <x:c r="D19" s="95" t="n">
        <x:f>SQRT(A19^2+Calculadora!$B$10^2)</x:f>
        <x:v>434.6262762420146</x:v>
      </x:c>
      <x:c r="E19" s="95" t="n">
        <x:f>C19-B19</x:f>
        <x:v>277.296519590767</x:v>
      </x:c>
      <x:c r="F19" s="96" t="str">
        <x:f>IF(OR(B19&lt;=0,C19&lt;=B19,C19&gt;=D19,(A19*COS(RADIANS(Calculadora!$B$7))+Calculadora!$B$10*SIN(RADIANS(Calculadora!$B$7)))&lt;=0),"REVISAR","VÁLIDO")</x:f>
        <x:v>VÁLIDO</x:v>
      </x:c>
    </x:row>
    <x:row r="20">
      <x:c r="A20" s="94" t="n">
        <x:v>180</x:v>
      </x:c>
      <x:c r="B20" s="95" t="n">
        <x:f>ABS(A20*COS(RADIANS(Calculadora!$B$7))+Calculadora!$B$10*SIN(RADIANS(Calculadora!$B$7)))</x:f>
        <x:v>32.33661441119605</x:v>
      </x:c>
      <x:c r="C20" s="95" t="n">
        <x:f>ABS(A20*COS(RADIANS(Calculadora!$F$7))+Calculadora!$B$10*SIN(RADIANS(Calculadora!$F$7)))</x:f>
        <x:v>309.592662923861</x:v>
      </x:c>
      <x:c r="D20" s="95" t="n">
        <x:f>SQRT(A20^2+Calculadora!$B$10^2)</x:f>
        <x:v>438.63424398922615</x:v>
      </x:c>
      <x:c r="E20" s="95" t="n">
        <x:f>C20-B20</x:f>
        <x:v>277.25604851266496</x:v>
      </x:c>
      <x:c r="F20" s="96" t="str">
        <x:f>IF(OR(B20&lt;=0,C20&lt;=B20,C20&gt;=D20,(A20*COS(RADIANS(Calculadora!$B$7))+Calculadora!$B$10*SIN(RADIANS(Calculadora!$B$7)))&lt;=0),"REVISAR","VÁLIDO")</x:f>
        <x:v>VÁLIDO</x:v>
      </x:c>
    </x:row>
    <x:row r="21">
      <x:c r="A21" s="94" t="n">
        <x:v>190</x:v>
      </x:c>
      <x:c r="B21" s="95" t="n">
        <x:f>ABS(A21*COS(RADIANS(Calculadora!$B$7))+Calculadora!$B$10*SIN(RADIANS(Calculadora!$B$7)))</x:f>
        <x:v>41.733540619055134</x:v>
      </x:c>
      <x:c r="C21" s="95" t="n">
        <x:f>ABS(A21*COS(RADIANS(Calculadora!$F$7))+Calculadora!$B$10*SIN(RADIANS(Calculadora!$F$7)))</x:f>
        <x:v>318.94911805361795</x:v>
      </x:c>
      <x:c r="D21" s="95" t="n">
        <x:f>SQRT(A21^2+Calculadora!$B$10^2)</x:f>
        <x:v>442.83179650969055</x:v>
      </x:c>
      <x:c r="E21" s="95" t="n">
        <x:f>C21-B21</x:f>
        <x:v>277.2155774345628</x:v>
      </x:c>
      <x:c r="F21" s="96" t="str">
        <x:f>IF(OR(B21&lt;=0,C21&lt;=B21,C21&gt;=D21,(A21*COS(RADIANS(Calculadora!$B$7))+Calculadora!$B$10*SIN(RADIANS(Calculadora!$B$7)))&lt;=0),"REVISAR","VÁLIDO")</x:f>
        <x:v>VÁLIDO</x:v>
      </x:c>
    </x:row>
    <x:row r="22">
      <x:c r="A22" s="94" t="n">
        <x:v>200</x:v>
      </x:c>
      <x:c r="B22" s="95" t="n">
        <x:f>ABS(A22*COS(RADIANS(Calculadora!$B$7))+Calculadora!$B$10*SIN(RADIANS(Calculadora!$B$7)))</x:f>
        <x:v>51.130466826914216</x:v>
      </x:c>
      <x:c r="C22" s="95" t="n">
        <x:f>ABS(A22*COS(RADIANS(Calculadora!$F$7))+Calculadora!$B$10*SIN(RADIANS(Calculadora!$F$7)))</x:f>
        <x:v>328.3055731833749</x:v>
      </x:c>
      <x:c r="D22" s="95" t="n">
        <x:f>SQRT(A22^2+Calculadora!$B$10^2)</x:f>
        <x:v>447.21359549995793</x:v>
      </x:c>
      <x:c r="E22" s="95" t="n">
        <x:f>C22-B22</x:f>
        <x:v>277.1751063564607</x:v>
      </x:c>
      <x:c r="F22" s="96" t="str">
        <x:f>IF(OR(B22&lt;=0,C22&lt;=B22,C22&gt;=D22,(A22*COS(RADIANS(Calculadora!$B$7))+Calculadora!$B$10*SIN(RADIANS(Calculadora!$B$7)))&lt;=0),"REVISAR","VÁLIDO")</x:f>
        <x:v>VÁLIDO</x:v>
      </x:c>
    </x:row>
    <x:row r="23">
      <x:c r="A23" s="94" t="n">
        <x:v>210</x:v>
      </x:c>
      <x:c r="B23" s="95" t="n">
        <x:f>ABS(A23*COS(RADIANS(Calculadora!$B$7))+Calculadora!$B$10*SIN(RADIANS(Calculadora!$B$7)))</x:f>
        <x:v>60.5273930347733</x:v>
      </x:c>
      <x:c r="C23" s="95" t="n">
        <x:f>ABS(A23*COS(RADIANS(Calculadora!$F$7))+Calculadora!$B$10*SIN(RADIANS(Calculadora!$F$7)))</x:f>
        <x:v>337.66202831313194</x:v>
      </x:c>
      <x:c r="D23" s="95" t="n">
        <x:f>SQRT(A23^2+Calculadora!$B$10^2)</x:f>
        <x:v>451.7742799230607</x:v>
      </x:c>
      <x:c r="E23" s="95" t="n">
        <x:f>C23-B23</x:f>
        <x:v>277.13463527835864</x:v>
      </x:c>
      <x:c r="F23" s="96" t="str">
        <x:f>IF(OR(B23&lt;=0,C23&lt;=B23,C23&gt;=D23,(A23*COS(RADIANS(Calculadora!$B$7))+Calculadora!$B$10*SIN(RADIANS(Calculadora!$B$7)))&lt;=0),"REVISAR","VÁLIDO")</x:f>
        <x:v>VÁLIDO</x:v>
      </x:c>
    </x:row>
    <x:row r="24">
      <x:c r="A24" s="94" t="n">
        <x:v>220</x:v>
      </x:c>
      <x:c r="B24" s="95" t="n">
        <x:f>ABS(A24*COS(RADIANS(Calculadora!$B$7))+Calculadora!$B$10*SIN(RADIANS(Calculadora!$B$7)))</x:f>
        <x:v>69.92431924263238</x:v>
      </x:c>
      <x:c r="C24" s="95" t="n">
        <x:f>ABS(A24*COS(RADIANS(Calculadora!$F$7))+Calculadora!$B$10*SIN(RADIANS(Calculadora!$F$7)))</x:f>
        <x:v>347.01848344288885</x:v>
      </x:c>
      <x:c r="D24" s="95" t="n">
        <x:f>SQRT(A24^2+Calculadora!$B$10^2)</x:f>
        <x:v>456.50848842053307</x:v>
      </x:c>
      <x:c r="E24" s="95" t="n">
        <x:f>C24-B24</x:f>
        <x:v>277.0941642002565</x:v>
      </x:c>
      <x:c r="F24" s="96" t="str">
        <x:f>IF(OR(B24&lt;=0,C24&lt;=B24,C24&gt;=D24,(A24*COS(RADIANS(Calculadora!$B$7))+Calculadora!$B$10*SIN(RADIANS(Calculadora!$B$7)))&lt;=0),"REVISAR","VÁLIDO")</x:f>
        <x:v>VÁLIDO</x:v>
      </x:c>
    </x:row>
    <x:row r="25">
      <x:c r="A25" s="94" t="n">
        <x:v>230</x:v>
      </x:c>
      <x:c r="B25" s="95" t="n">
        <x:f>ABS(A25*COS(RADIANS(Calculadora!$B$7))+Calculadora!$B$10*SIN(RADIANS(Calculadora!$B$7)))</x:f>
        <x:v>79.32124545049146</x:v>
      </x:c>
      <x:c r="C25" s="95" t="n">
        <x:f>ABS(A25*COS(RADIANS(Calculadora!$F$7))+Calculadora!$B$10*SIN(RADIANS(Calculadora!$F$7)))</x:f>
        <x:v>356.3749385726459</x:v>
      </x:c>
      <x:c r="D25" s="95" t="n">
        <x:f>SQRT(A25^2+Calculadora!$B$10^2)</x:f>
        <x:v>461.41087980237313</x:v>
      </x:c>
      <x:c r="E25" s="95" t="n">
        <x:f>C25-B25</x:f>
        <x:v>277.0536931221544</x:v>
      </x:c>
      <x:c r="F25" s="96" t="str">
        <x:f>IF(OR(B25&lt;=0,C25&lt;=B25,C25&gt;=D25,(A25*COS(RADIANS(Calculadora!$B$7))+Calculadora!$B$10*SIN(RADIANS(Calculadora!$B$7)))&lt;=0),"REVISAR","VÁLIDO")</x:f>
        <x:v>VÁLIDO</x:v>
      </x:c>
    </x:row>
    <x:row r="26">
      <x:c r="A26" s="94" t="n">
        <x:v>240</x:v>
      </x:c>
      <x:c r="B26" s="95" t="n">
        <x:f>ABS(A26*COS(RADIANS(Calculadora!$B$7))+Calculadora!$B$10*SIN(RADIANS(Calculadora!$B$7)))</x:f>
        <x:v>88.71817165835054</x:v>
      </x:c>
      <x:c r="C26" s="95" t="n">
        <x:f>ABS(A26*COS(RADIANS(Calculadora!$F$7))+Calculadora!$B$10*SIN(RADIANS(Calculadora!$F$7)))</x:f>
        <x:v>365.73139370240284</x:v>
      </x:c>
      <x:c r="D26" s="95" t="n">
        <x:f>SQRT(A26^2+Calculadora!$B$10^2)</x:f>
        <x:v>466.47615158762403</x:v>
      </x:c>
      <x:c r="E26" s="95" t="n">
        <x:f>C26-B26</x:f>
        <x:v>277.0132220440523</x:v>
      </x:c>
      <x:c r="F26" s="96" t="str">
        <x:f>IF(OR(B26&lt;=0,C26&lt;=B26,C26&gt;=D26,(A26*COS(RADIANS(Calculadora!$B$7))+Calculadora!$B$10*SIN(RADIANS(Calculadora!$B$7)))&lt;=0),"REVISAR","VÁLIDO")</x:f>
        <x:v>VÁLIDO</x:v>
      </x:c>
    </x:row>
    <x:row r="27">
      <x:c r="A27" s="94" t="n">
        <x:v>250</x:v>
      </x:c>
      <x:c r="B27" s="95" t="n">
        <x:f>ABS(A27*COS(RADIANS(Calculadora!$B$7))+Calculadora!$B$10*SIN(RADIANS(Calculadora!$B$7)))</x:f>
        <x:v>98.11509786620962</x:v>
      </x:c>
      <x:c r="C27" s="95" t="n">
        <x:f>ABS(A27*COS(RADIANS(Calculadora!$F$7))+Calculadora!$B$10*SIN(RADIANS(Calculadora!$F$7)))</x:f>
        <x:v>375.0878488321598</x:v>
      </x:c>
      <x:c r="D27" s="95" t="n">
        <x:f>SQRT(A27^2+Calculadora!$B$10^2)</x:f>
        <x:v>471.6990566028302</x:v>
      </x:c>
      <x:c r="E27" s="95" t="n">
        <x:f>C27-B27</x:f>
        <x:v>276.9727509659502</x:v>
      </x:c>
      <x:c r="F27" s="96" t="str">
        <x:f>IF(OR(B27&lt;=0,C27&lt;=B27,C27&gt;=D27,(A27*COS(RADIANS(Calculadora!$B$7))+Calculadora!$B$10*SIN(RADIANS(Calculadora!$B$7)))&lt;=0),"REVISAR","VÁLIDO")</x:f>
        <x:v>VÁLIDO</x:v>
      </x:c>
    </x:row>
    <x:row r="28">
      <x:c r="A28" s="94" t="n">
        <x:v>260</x:v>
      </x:c>
      <x:c r="B28" s="95" t="n">
        <x:f>ABS(A28*COS(RADIANS(Calculadora!$B$7))+Calculadora!$B$10*SIN(RADIANS(Calculadora!$B$7)))</x:f>
        <x:v>107.5120240740687</x:v>
      </x:c>
      <x:c r="C28" s="95" t="n">
        <x:f>ABS(A28*COS(RADIANS(Calculadora!$F$7))+Calculadora!$B$10*SIN(RADIANS(Calculadora!$F$7)))</x:f>
        <x:v>384.44430396191683</x:v>
      </x:c>
      <x:c r="D28" s="95" t="n">
        <x:f>SQRT(A28^2+Calculadora!$B$10^2)</x:f>
        <x:v>477.07441767506253</x:v>
      </x:c>
      <x:c r="E28" s="95" t="n">
        <x:f>C28-B28</x:f>
        <x:v>276.93227988784815</x:v>
      </x:c>
      <x:c r="F28" s="96" t="str">
        <x:f>IF(OR(B28&lt;=0,C28&lt;=B28,C28&gt;=D28,(A28*COS(RADIANS(Calculadora!$B$7))+Calculadora!$B$10*SIN(RADIANS(Calculadora!$B$7)))&lt;=0),"REVISAR","VÁLIDO")</x:f>
        <x:v>VÁLIDO</x:v>
      </x:c>
    </x:row>
    <x:row r="29">
      <x:c r="A29" s="94" t="n">
        <x:v>270</x:v>
      </x:c>
      <x:c r="B29" s="95" t="n">
        <x:f>ABS(A29*COS(RADIANS(Calculadora!$B$7))+Calculadora!$B$10*SIN(RADIANS(Calculadora!$B$7)))</x:f>
        <x:v>116.90895028192782</x:v>
      </x:c>
      <x:c r="C29" s="95" t="n">
        <x:f>ABS(A29*COS(RADIANS(Calculadora!$F$7))+Calculadora!$B$10*SIN(RADIANS(Calculadora!$F$7)))</x:f>
        <x:v>393.8007590916738</x:v>
      </x:c>
      <x:c r="D29" s="95" t="n">
        <x:f>SQRT(A29^2+Calculadora!$B$10^2)</x:f>
        <x:v>482.59714048054616</x:v>
      </x:c>
      <x:c r="E29" s="95" t="n">
        <x:f>C29-B29</x:f>
        <x:v>276.89180880974595</x:v>
      </x:c>
      <x:c r="F29" s="96" t="str">
        <x:f>IF(OR(B29&lt;=0,C29&lt;=B29,C29&gt;=D29,(A29*COS(RADIANS(Calculadora!$B$7))+Calculadora!$B$10*SIN(RADIANS(Calculadora!$B$7)))&lt;=0),"REVISAR","VÁLIDO")</x:f>
        <x:v>VÁLIDO</x:v>
      </x:c>
    </x:row>
    <x:row r="30">
      <x:c r="A30" s="94" t="n">
        <x:v>280</x:v>
      </x:c>
      <x:c r="B30" s="95" t="n">
        <x:f>ABS(A30*COS(RADIANS(Calculadora!$B$7))+Calculadora!$B$10*SIN(RADIANS(Calculadora!$B$7)))</x:f>
        <x:v>126.30587648978687</x:v>
      </x:c>
      <x:c r="C30" s="95" t="n">
        <x:f>ABS(A30*COS(RADIANS(Calculadora!$F$7))+Calculadora!$B$10*SIN(RADIANS(Calculadora!$F$7)))</x:f>
        <x:v>403.15721422143076</x:v>
      </x:c>
      <x:c r="D30" s="95" t="n">
        <x:f>SQRT(A30^2+Calculadora!$B$10^2)</x:f>
        <x:v>488.2622246293481</x:v>
      </x:c>
      <x:c r="E30" s="95" t="n">
        <x:f>C30-B30</x:f>
        <x:v>276.85133773164387</x:v>
      </x:c>
      <x:c r="F30" s="96" t="str">
        <x:f>IF(OR(B30&lt;=0,C30&lt;=B30,C30&gt;=D30,(A30*COS(RADIANS(Calculadora!$B$7))+Calculadora!$B$10*SIN(RADIANS(Calculadora!$B$7)))&lt;=0),"REVISAR","VÁLIDO")</x:f>
        <x:v>VÁLIDO</x:v>
      </x:c>
    </x:row>
    <x:row r="31">
      <x:c r="A31" s="94" t="n">
        <x:v>290</x:v>
      </x:c>
      <x:c r="B31" s="95" t="n">
        <x:f>ABS(A31*COS(RADIANS(Calculadora!$B$7))+Calculadora!$B$10*SIN(RADIANS(Calculadora!$B$7)))</x:f>
        <x:v>135.70280269764598</x:v>
      </x:c>
      <x:c r="C31" s="95" t="n">
        <x:f>ABS(A31*COS(RADIANS(Calculadora!$F$7))+Calculadora!$B$10*SIN(RADIANS(Calculadora!$F$7)))</x:f>
        <x:v>412.5136693511878</x:v>
      </x:c>
      <x:c r="D31" s="95" t="n">
        <x:f>SQRT(A31^2+Calculadora!$B$10^2)</x:f>
        <x:v>494.064773081425</x:v>
      </x:c>
      <x:c r="E31" s="95" t="n">
        <x:f>C31-B31</x:f>
        <x:v>276.8108666535418</x:v>
      </x:c>
      <x:c r="F31" s="96" t="str">
        <x:f>IF(OR(B31&lt;=0,C31&lt;=B31,C31&gt;=D31,(A31*COS(RADIANS(Calculadora!$B$7))+Calculadora!$B$10*SIN(RADIANS(Calculadora!$B$7)))&lt;=0),"REVISAR","VÁLIDO")</x:f>
        <x:v>VÁLIDO</x:v>
      </x:c>
    </x:row>
    <x:row r="32">
      <x:c r="A32" s="94" t="n">
        <x:v>300</x:v>
      </x:c>
      <x:c r="B32" s="95" t="n">
        <x:f>ABS(A32*COS(RADIANS(Calculadora!$B$7))+Calculadora!$B$10*SIN(RADIANS(Calculadora!$B$7)))</x:f>
        <x:v>145.09972890550503</x:v>
      </x:c>
      <x:c r="C32" s="95" t="n">
        <x:f>ABS(A32*COS(RADIANS(Calculadora!$F$7))+Calculadora!$B$10*SIN(RADIANS(Calculadora!$F$7)))</x:f>
        <x:v>421.8701244809447</x:v>
      </x:c>
      <x:c r="D32" s="95" t="n">
        <x:f>SQRT(A32^2+Calculadora!$B$10^2)</x:f>
        <x:v>500</x:v>
      </x:c>
      <x:c r="E32" s="95" t="n">
        <x:f>C32-B32</x:f>
        <x:v>276.7703955754397</x:v>
      </x:c>
      <x:c r="F32" s="96" t="str">
        <x:f>IF(OR(B32&lt;=0,C32&lt;=B32,C32&gt;=D32,(A32*COS(RADIANS(Calculadora!$B$7))+Calculadora!$B$10*SIN(RADIANS(Calculadora!$B$7)))&lt;=0),"REVISAR","VÁLIDO")</x:f>
        <x:v>VÁLIDO</x:v>
      </x:c>
    </x:row>
    <x:row r="33">
      <x:c r="A33" s="94" t="n">
        <x:v>310</x:v>
      </x:c>
      <x:c r="B33" s="95" t="n">
        <x:f>ABS(A33*COS(RADIANS(Calculadora!$B$7))+Calculadora!$B$10*SIN(RADIANS(Calculadora!$B$7)))</x:f>
        <x:v>154.49665511336414</x:v>
      </x:c>
      <x:c r="C33" s="95" t="n">
        <x:f>ABS(A33*COS(RADIANS(Calculadora!$F$7))+Calculadora!$B$10*SIN(RADIANS(Calculadora!$F$7)))</x:f>
        <x:v>431.2265796107017</x:v>
      </x:c>
      <x:c r="D33" s="95" t="n">
        <x:f>SQRT(A33^2+Calculadora!$B$10^2)</x:f>
        <x:v>506.06323715519983</x:v>
      </x:c>
      <x:c r="E33" s="95" t="n">
        <x:f>C33-B33</x:f>
        <x:v>276.7299244973376</x:v>
      </x:c>
      <x:c r="F33" s="96" t="str">
        <x:f>IF(OR(B33&lt;=0,C33&lt;=B33,C33&gt;=D33,(A33*COS(RADIANS(Calculadora!$B$7))+Calculadora!$B$10*SIN(RADIANS(Calculadora!$B$7)))&lt;=0),"REVISAR","VÁLIDO")</x:f>
        <x:v>VÁLIDO</x:v>
      </x:c>
    </x:row>
    <x:row r="34">
      <x:c r="A34" s="94" t="n">
        <x:v>320</x:v>
      </x:c>
      <x:c r="B34" s="95" t="n">
        <x:f>ABS(A34*COS(RADIANS(Calculadora!$B$7))+Calculadora!$B$10*SIN(RADIANS(Calculadora!$B$7)))</x:f>
        <x:v>163.89358132122325</x:v>
      </x:c>
      <x:c r="C34" s="95" t="n">
        <x:f>ABS(A34*COS(RADIANS(Calculadora!$F$7))+Calculadora!$B$10*SIN(RADIANS(Calculadora!$F$7)))</x:f>
        <x:v>440.58303474045874</x:v>
      </x:c>
      <x:c r="D34" s="95" t="n">
        <x:f>SQRT(A34^2+Calculadora!$B$10^2)</x:f>
        <x:v>512.2499389946279</x:v>
      </x:c>
      <x:c r="E34" s="95" t="n">
        <x:f>C34-B34</x:f>
        <x:v>276.6894534192355</x:v>
      </x:c>
      <x:c r="F34" s="96" t="str">
        <x:f>IF(OR(B34&lt;=0,C34&lt;=B34,C34&gt;=D34,(A34*COS(RADIANS(Calculadora!$B$7))+Calculadora!$B$10*SIN(RADIANS(Calculadora!$B$7)))&lt;=0),"REVISAR","VÁLIDO")</x:f>
        <x:v>VÁLIDO</x:v>
      </x:c>
    </x:row>
    <x:row r="35">
      <x:c r="A35" s="94" t="n">
        <x:v>330</x:v>
      </x:c>
      <x:c r="B35" s="95" t="n">
        <x:f>ABS(A35*COS(RADIANS(Calculadora!$B$7))+Calculadora!$B$10*SIN(RADIANS(Calculadora!$B$7)))</x:f>
        <x:v>173.2905075290823</x:v>
      </x:c>
      <x:c r="C35" s="95" t="n">
        <x:f>ABS(A35*COS(RADIANS(Calculadora!$F$7))+Calculadora!$B$10*SIN(RADIANS(Calculadora!$F$7)))</x:f>
        <x:v>449.93948987021565</x:v>
      </x:c>
      <x:c r="D35" s="95" t="n">
        <x:f>SQRT(A35^2+Calculadora!$B$10^2)</x:f>
        <x:v>518.555686498567</x:v>
      </x:c>
      <x:c r="E35" s="95" t="n">
        <x:f>C35-B35</x:f>
        <x:v>276.6489823411333</x:v>
      </x:c>
      <x:c r="F35" s="96" t="str">
        <x:f>IF(OR(B35&lt;=0,C35&lt;=B35,C35&gt;=D35,(A35*COS(RADIANS(Calculadora!$B$7))+Calculadora!$B$10*SIN(RADIANS(Calculadora!$B$7)))&lt;=0),"REVISAR","VÁLIDO")</x:f>
        <x:v>VÁLIDO</x:v>
      </x:c>
    </x:row>
    <x:row r="36">
      <x:c r="A36" s="94" t="n">
        <x:v>340</x:v>
      </x:c>
      <x:c r="B36" s="95" t="n">
        <x:f>ABS(A36*COS(RADIANS(Calculadora!$B$7))+Calculadora!$B$10*SIN(RADIANS(Calculadora!$B$7)))</x:f>
        <x:v>182.68743373694141</x:v>
      </x:c>
      <x:c r="C36" s="95" t="n">
        <x:f>ABS(A36*COS(RADIANS(Calculadora!$F$7))+Calculadora!$B$10*SIN(RADIANS(Calculadora!$F$7)))</x:f>
        <x:v>459.2959449999727</x:v>
      </x:c>
      <x:c r="D36" s="95" t="n">
        <x:f>SQRT(A36^2+Calculadora!$B$10^2)</x:f>
        <x:v>524.9761899362675</x:v>
      </x:c>
      <x:c r="E36" s="95" t="n">
        <x:f>C36-B36</x:f>
        <x:v>276.60851126303123</x:v>
      </x:c>
      <x:c r="F36" s="96" t="str">
        <x:f>IF(OR(B36&lt;=0,C36&lt;=B36,C36&gt;=D36,(A36*COS(RADIANS(Calculadora!$B$7))+Calculadora!$B$10*SIN(RADIANS(Calculadora!$B$7)))&lt;=0),"REVISAR","VÁLIDO")</x:f>
        <x:v>VÁLIDO</x:v>
      </x:c>
    </x:row>
    <x:row r="37">
      <x:c r="A37" s="94" t="n">
        <x:v>350</x:v>
      </x:c>
      <x:c r="B37" s="95" t="n">
        <x:f>ABS(A37*COS(RADIANS(Calculadora!$B$7))+Calculadora!$B$10*SIN(RADIANS(Calculadora!$B$7)))</x:f>
        <x:v>192.08435994480047</x:v>
      </x:c>
      <x:c r="C37" s="95" t="n">
        <x:f>ABS(A37*COS(RADIANS(Calculadora!$F$7))+Calculadora!$B$10*SIN(RADIANS(Calculadora!$F$7)))</x:f>
        <x:v>468.6524001297296</x:v>
      </x:c>
      <x:c r="D37" s="95" t="n">
        <x:f>SQRT(A37^2+Calculadora!$B$10^2)</x:f>
        <x:v>531.5072906367325</x:v>
      </x:c>
      <x:c r="E37" s="95" t="n">
        <x:f>C37-B37</x:f>
        <x:v>276.56804018492915</x:v>
      </x:c>
      <x:c r="F37" s="96" t="str">
        <x:f>IF(OR(B37&lt;=0,C37&lt;=B37,C37&gt;=D37,(A37*COS(RADIANS(Calculadora!$B$7))+Calculadora!$B$10*SIN(RADIANS(Calculadora!$B$7)))&lt;=0),"REVISAR","VÁLIDO")</x:f>
        <x:v>VÁLIDO</x:v>
      </x:c>
    </x:row>
    <x:row r="38">
      <x:c r="A38" s="94" t="n">
        <x:v>360</x:v>
      </x:c>
      <x:c r="B38" s="95" t="n">
        <x:f>ABS(A38*COS(RADIANS(Calculadora!$B$7))+Calculadora!$B$10*SIN(RADIANS(Calculadora!$B$7)))</x:f>
        <x:v>201.48128615265958</x:v>
      </x:c>
      <x:c r="C38" s="95" t="n">
        <x:f>ABS(A38*COS(RADIANS(Calculadora!$F$7))+Calculadora!$B$10*SIN(RADIANS(Calculadora!$F$7)))</x:f>
        <x:v>478.0088552594866</x:v>
      </x:c>
      <x:c r="D38" s="95" t="n">
        <x:f>SQRT(A38^2+Calculadora!$B$10^2)</x:f>
        <x:v>538.1449618829485</x:v>
      </x:c>
      <x:c r="E38" s="95" t="n">
        <x:f>C38-B38</x:f>
        <x:v>276.52756910682706</x:v>
      </x:c>
      <x:c r="F38" s="96" t="str">
        <x:f>IF(OR(B38&lt;=0,C38&lt;=B38,C38&gt;=D38,(A38*COS(RADIANS(Calculadora!$B$7))+Calculadora!$B$10*SIN(RADIANS(Calculadora!$B$7)))&lt;=0),"REVISAR","VÁLIDO")</x:f>
        <x:v>VÁLIDO</x:v>
      </x:c>
    </x:row>
    <x:row r="39">
      <x:c r="A39" s="94" t="n">
        <x:v>370</x:v>
      </x:c>
      <x:c r="B39" s="95" t="n">
        <x:f>ABS(A39*COS(RADIANS(Calculadora!$B$7))+Calculadora!$B$10*SIN(RADIANS(Calculadora!$B$7)))</x:f>
        <x:v>210.87821236051863</x:v>
      </x:c>
      <x:c r="C39" s="95" t="n">
        <x:f>ABS(A39*COS(RADIANS(Calculadora!$F$7))+Calculadora!$B$10*SIN(RADIANS(Calculadora!$F$7)))</x:f>
        <x:v>487.36531038924363</x:v>
      </x:c>
      <x:c r="D39" s="95" t="n">
        <x:f>SQRT(A39^2+Calculadora!$B$10^2)</x:f>
        <x:v>544.8853090330111</x:v>
      </x:c>
      <x:c r="E39" s="95" t="n">
        <x:f>C39-B39</x:f>
        <x:v>276.487098028725</x:v>
      </x:c>
      <x:c r="F39" s="96" t="str">
        <x:f>IF(OR(B39&lt;=0,C39&lt;=B39,C39&gt;=D39,(A39*COS(RADIANS(Calculadora!$B$7))+Calculadora!$B$10*SIN(RADIANS(Calculadora!$B$7)))&lt;=0),"REVISAR","VÁLIDO")</x:f>
        <x:v>VÁLIDO</x:v>
      </x:c>
    </x:row>
    <x:row r="40">
      <x:c r="A40" s="94" t="n">
        <x:v>380</x:v>
      </x:c>
      <x:c r="B40" s="95" t="n">
        <x:f>ABS(A40*COS(RADIANS(Calculadora!$B$7))+Calculadora!$B$10*SIN(RADIANS(Calculadora!$B$7)))</x:f>
        <x:v>220.27513856837774</x:v>
      </x:c>
      <x:c r="C40" s="95" t="n">
        <x:f>ABS(A40*COS(RADIANS(Calculadora!$F$7))+Calculadora!$B$10*SIN(RADIANS(Calculadora!$F$7)))</x:f>
        <x:v>496.72176551900054</x:v>
      </x:c>
      <x:c r="D40" s="95" t="n">
        <x:f>SQRT(A40^2+Calculadora!$B$10^2)</x:f>
        <x:v>551.7245689653489</x:v>
      </x:c>
      <x:c r="E40" s="95" t="n">
        <x:f>C40-B40</x:f>
        <x:v>276.4466269506228</x:v>
      </x:c>
      <x:c r="F40" s="96" t="str">
        <x:f>IF(OR(B40&lt;=0,C40&lt;=B40,C40&gt;=D40,(A40*COS(RADIANS(Calculadora!$B$7))+Calculadora!$B$10*SIN(RADIANS(Calculadora!$B$7)))&lt;=0),"REVISAR","VÁLIDO")</x:f>
        <x:v>VÁLIDO</x:v>
      </x:c>
    </x:row>
    <x:row r="41">
      <x:c r="A41" s="94" t="n">
        <x:v>390</x:v>
      </x:c>
      <x:c r="B41" s="95" t="n">
        <x:f>ABS(A41*COS(RADIANS(Calculadora!$B$7))+Calculadora!$B$10*SIN(RADIANS(Calculadora!$B$7)))</x:f>
        <x:v>229.6720647762368</x:v>
      </x:c>
      <x:c r="C41" s="95" t="n">
        <x:f>ABS(A41*COS(RADIANS(Calculadora!$F$7))+Calculadora!$B$10*SIN(RADIANS(Calculadora!$F$7)))</x:f>
        <x:v>506.07822064875756</x:v>
      </x:c>
      <x:c r="D41" s="95" t="n">
        <x:f>SQRT(A41^2+Calculadora!$B$10^2)</x:f>
        <x:v>558.6591089385369</x:v>
      </x:c>
      <x:c r="E41" s="95" t="n">
        <x:f>C41-B41</x:f>
        <x:v>276.4061558725208</x:v>
      </x:c>
      <x:c r="F41" s="96" t="str">
        <x:f>IF(OR(B41&lt;=0,C41&lt;=B41,C41&gt;=D41,(A41*COS(RADIANS(Calculadora!$B$7))+Calculadora!$B$10*SIN(RADIANS(Calculadora!$B$7)))&lt;=0),"REVISAR","VÁLIDO")</x:f>
        <x:v>VÁLIDO</x:v>
      </x:c>
    </x:row>
    <x:row r="42">
      <x:c r="A42" s="94" t="n">
        <x:v>400</x:v>
      </x:c>
      <x:c r="B42" s="95" t="n">
        <x:f>ABS(A42*COS(RADIANS(Calculadora!$B$7))+Calculadora!$B$10*SIN(RADIANS(Calculadora!$B$7)))</x:f>
        <x:v>239.0689909840959</x:v>
      </x:c>
      <x:c r="C42" s="95" t="n">
        <x:f>ABS(A42*COS(RADIANS(Calculadora!$F$7))+Calculadora!$B$10*SIN(RADIANS(Calculadora!$F$7)))</x:f>
        <x:v>515.4346757785145</x:v>
      </x:c>
      <x:c r="D42" s="95" t="n">
        <x:f>SQRT(A42^2+Calculadora!$B$10^2)</x:f>
        <x:v>565.685424949238</x:v>
      </x:c>
      <x:c r="E42" s="95" t="n">
        <x:f>C42-B42</x:f>
        <x:v>276.3656847944186</x:v>
      </x:c>
      <x:c r="F42" s="96" t="str">
        <x:f>IF(OR(B42&lt;=0,C42&lt;=B42,C42&gt;=D42,(A42*COS(RADIANS(Calculadora!$B$7))+Calculadora!$B$10*SIN(RADIANS(Calculadora!$B$7)))&lt;=0),"REVISAR","VÁLIDO")</x:f>
        <x:v>VÁLIDO</x:v>
      </x:c>
    </x:row>
    <x:row r="43">
      <x:c r="A43" s="94" t="n">
        <x:v>410</x:v>
      </x:c>
      <x:c r="B43" s="95" t="n">
        <x:f>ABS(A43*COS(RADIANS(Calculadora!$B$7))+Calculadora!$B$10*SIN(RADIANS(Calculadora!$B$7)))</x:f>
        <x:v>248.46591719195496</x:v>
      </x:c>
      <x:c r="C43" s="95" t="n">
        <x:f>ABS(A43*COS(RADIANS(Calculadora!$F$7))+Calculadora!$B$10*SIN(RADIANS(Calculadora!$F$7)))</x:f>
        <x:v>524.7911309082715</x:v>
      </x:c>
      <x:c r="D43" s="95" t="n">
        <x:f>SQRT(A43^2+Calculadora!$B$10^2)</x:f>
        <x:v>572.8001396647875</x:v>
      </x:c>
      <x:c r="E43" s="95" t="n">
        <x:f>C43-B43</x:f>
        <x:v>276.3252137163165</x:v>
      </x:c>
      <x:c r="F43" s="96" t="str">
        <x:f>IF(OR(B43&lt;=0,C43&lt;=B43,C43&gt;=D43,(A43*COS(RADIANS(Calculadora!$B$7))+Calculadora!$B$10*SIN(RADIANS(Calculadora!$B$7)))&lt;=0),"REVISAR","VÁLIDO")</x:f>
        <x:v>VÁLIDO</x:v>
      </x:c>
    </x:row>
    <x:row r="44">
      <x:c r="A44" s="94" t="n">
        <x:v>420</x:v>
      </x:c>
      <x:c r="B44" s="95" t="n">
        <x:f>ABS(A44*COS(RADIANS(Calculadora!$B$7))+Calculadora!$B$10*SIN(RADIANS(Calculadora!$B$7)))</x:f>
        <x:v>257.8628433998141</x:v>
      </x:c>
      <x:c r="C44" s="95" t="n">
        <x:f>ABS(A44*COS(RADIANS(Calculadora!$F$7))+Calculadora!$B$10*SIN(RADIANS(Calculadora!$F$7)))</x:f>
        <x:v>534.1475860380285</x:v>
      </x:c>
      <x:c r="D44" s="95" t="n">
        <x:f>SQRT(A44^2+Calculadora!$B$10^2)</x:f>
        <x:v>580</x:v>
      </x:c>
      <x:c r="E44" s="95" t="n">
        <x:f>C44-B44</x:f>
        <x:v>276.2847426382144</x:v>
      </x:c>
      <x:c r="F44" s="96" t="str">
        <x:f>IF(OR(B44&lt;=0,C44&lt;=B44,C44&gt;=D44,(A44*COS(RADIANS(Calculadora!$B$7))+Calculadora!$B$10*SIN(RADIANS(Calculadora!$B$7)))&lt;=0),"REVISAR","VÁLIDO")</x:f>
        <x:v>VÁLIDO</x:v>
      </x:c>
    </x:row>
    <x:row r="45">
      <x:c r="A45" s="94" t="n">
        <x:v>430</x:v>
      </x:c>
      <x:c r="B45" s="95" t="n">
        <x:f>ABS(A45*COS(RADIANS(Calculadora!$B$7))+Calculadora!$B$10*SIN(RADIANS(Calculadora!$B$7)))</x:f>
        <x:v>267.2597696076732</x:v>
      </x:c>
      <x:c r="C45" s="95" t="n">
        <x:f>ABS(A45*COS(RADIANS(Calculadora!$F$7))+Calculadora!$B$10*SIN(RADIANS(Calculadora!$F$7)))</x:f>
        <x:v>543.5040411677854</x:v>
      </x:c>
      <x:c r="D45" s="95" t="n">
        <x:f>SQRT(A45^2+Calculadora!$B$10^2)</x:f>
        <x:v>587.2818744010409</x:v>
      </x:c>
      <x:c r="E45" s="95" t="n">
        <x:f>C45-B45</x:f>
        <x:v>276.2442715601122</x:v>
      </x:c>
      <x:c r="F45" s="96" t="str">
        <x:f>IF(OR(B45&lt;=0,C45&lt;=B45,C45&gt;=D45,(A45*COS(RADIANS(Calculadora!$B$7))+Calculadora!$B$10*SIN(RADIANS(Calculadora!$B$7)))&lt;=0),"REVISAR","VÁLIDO")</x:f>
        <x:v>VÁLIDO</x:v>
      </x:c>
    </x:row>
    <x:row r="46">
      <x:c r="A46" s="94" t="n">
        <x:v>440</x:v>
      </x:c>
      <x:c r="B46" s="95" t="n">
        <x:f>ABS(A46*COS(RADIANS(Calculadora!$B$7))+Calculadora!$B$10*SIN(RADIANS(Calculadora!$B$7)))</x:f>
        <x:v>276.6566958155322</x:v>
      </x:c>
      <x:c r="C46" s="95" t="n">
        <x:f>ABS(A46*COS(RADIANS(Calculadora!$F$7))+Calculadora!$B$10*SIN(RADIANS(Calculadora!$F$7)))</x:f>
        <x:v>552.8604962975425</x:v>
      </x:c>
      <x:c r="D46" s="95" t="n">
        <x:f>SQRT(A46^2+Calculadora!$B$10^2)</x:f>
        <x:v>594.6427498927402</x:v>
      </x:c>
      <x:c r="E46" s="95" t="n">
        <x:f>C46-B46</x:f>
        <x:v>276.20380048201025</x:v>
      </x:c>
      <x:c r="F46" s="96" t="str">
        <x:f>IF(OR(B46&lt;=0,C46&lt;=B46,C46&gt;=D46,(A46*COS(RADIANS(Calculadora!$B$7))+Calculadora!$B$10*SIN(RADIANS(Calculadora!$B$7)))&lt;=0),"REVISAR","VÁLIDO")</x:f>
        <x:v>VÁLIDO</x:v>
      </x:c>
    </x:row>
    <x:row r="47">
      <x:c r="A47" s="94" t="n">
        <x:v>450</x:v>
      </x:c>
      <x:c r="B47" s="95" t="n">
        <x:f>ABS(A47*COS(RADIANS(Calculadora!$B$7))+Calculadora!$B$10*SIN(RADIANS(Calculadora!$B$7)))</x:f>
        <x:v>286.0536220233913</x:v>
      </x:c>
      <x:c r="C47" s="95" t="n">
        <x:f>ABS(A47*COS(RADIANS(Calculadora!$F$7))+Calculadora!$B$10*SIN(RADIANS(Calculadora!$F$7)))</x:f>
        <x:v>562.2169514272995</x:v>
      </x:c>
      <x:c r="D47" s="95" t="n">
        <x:f>SQRT(A47^2+Calculadora!$B$10^2)</x:f>
        <x:v>602.0797289396148</x:v>
      </x:c>
      <x:c r="E47" s="95" t="n">
        <x:f>C47-B47</x:f>
        <x:v>276.16332940390816</x:v>
      </x:c>
      <x:c r="F47" s="96" t="str">
        <x:f>IF(OR(B47&lt;=0,C47&lt;=B47,C47&gt;=D47,(A47*COS(RADIANS(Calculadora!$B$7))+Calculadora!$B$10*SIN(RADIANS(Calculadora!$B$7)))&lt;=0),"REVISAR","VÁLIDO")</x:f>
        <x:v>VÁLIDO</x:v>
      </x:c>
    </x:row>
    <x:row r="48">
      <x:c r="A48" s="94" t="n">
        <x:v>460</x:v>
      </x:c>
      <x:c r="B48" s="95" t="n">
        <x:f>ABS(A48*COS(RADIANS(Calculadora!$B$7))+Calculadora!$B$10*SIN(RADIANS(Calculadora!$B$7)))</x:f>
        <x:v>295.4505482312504</x:v>
      </x:c>
      <x:c r="C48" s="95" t="n">
        <x:f>ABS(A48*COS(RADIANS(Calculadora!$F$7))+Calculadora!$B$10*SIN(RADIANS(Calculadora!$F$7)))</x:f>
        <x:v>571.5734065570564</x:v>
      </x:c>
      <x:c r="D48" s="95" t="n">
        <x:f>SQRT(A48^2+Calculadora!$B$10^2)</x:f>
        <x:v>609.5900261651268</x:v>
      </x:c>
      <x:c r="E48" s="95" t="n">
        <x:f>C48-B48</x:f>
        <x:v>276.12285832580596</x:v>
      </x:c>
      <x:c r="F48" s="96" t="str">
        <x:f>IF(OR(B48&lt;=0,C48&lt;=B48,C48&gt;=D48,(A48*COS(RADIANS(Calculadora!$B$7))+Calculadora!$B$10*SIN(RADIANS(Calculadora!$B$7)))&lt;=0),"REVISAR","VÁLIDO")</x:f>
        <x:v>VÁLIDO</x:v>
      </x:c>
    </x:row>
    <x:row r="49">
      <x:c r="A49" s="94" t="n">
        <x:v>470</x:v>
      </x:c>
      <x:c r="B49" s="95" t="n">
        <x:f>ABS(A49*COS(RADIANS(Calculadora!$B$7))+Calculadora!$B$10*SIN(RADIANS(Calculadora!$B$7)))</x:f>
        <x:v>304.84747443910953</x:v>
      </x:c>
      <x:c r="C49" s="95" t="n">
        <x:f>ABS(A49*COS(RADIANS(Calculadora!$F$7))+Calculadora!$B$10*SIN(RADIANS(Calculadora!$F$7)))</x:f>
        <x:v>580.9298616868134</x:v>
      </x:c>
      <x:c r="D49" s="95" t="n">
        <x:f>SQRT(A49^2+Calculadora!$B$10^2)</x:f>
        <x:v>617.1709649683789</x:v>
      </x:c>
      <x:c r="E49" s="95" t="n">
        <x:f>C49-B49</x:f>
        <x:v>276.0823872477039</x:v>
      </x:c>
      <x:c r="F49" s="96" t="str">
        <x:f>IF(OR(B49&lt;=0,C49&lt;=B49,C49&gt;=D49,(A49*COS(RADIANS(Calculadora!$B$7))+Calculadora!$B$10*SIN(RADIANS(Calculadora!$B$7)))&lt;=0),"REVISAR","VÁLIDO")</x:f>
        <x:v>VÁLIDO</x:v>
      </x:c>
    </x:row>
    <x:row r="50">
      <x:c r="A50" s="94" t="n">
        <x:v>480</x:v>
      </x:c>
      <x:c r="B50" s="95" t="n">
        <x:f>ABS(A50*COS(RADIANS(Calculadora!$B$7))+Calculadora!$B$10*SIN(RADIANS(Calculadora!$B$7)))</x:f>
        <x:v>314.24440064696853</x:v>
      </x:c>
      <x:c r="C50" s="95" t="n">
        <x:f>ABS(A50*COS(RADIANS(Calculadora!$F$7))+Calculadora!$B$10*SIN(RADIANS(Calculadora!$F$7)))</x:f>
        <x:v>590.2863168165703</x:v>
      </x:c>
      <x:c r="D50" s="95" t="n">
        <x:f>SQRT(A50^2+Calculadora!$B$10^2)</x:f>
        <x:v>624.8199740725323</x:v>
      </x:c>
      <x:c r="E50" s="95" t="n">
        <x:f>C50-B50</x:f>
        <x:v>276.0419161696018</x:v>
      </x:c>
      <x:c r="F50" s="96" t="str">
        <x:f>IF(OR(B50&lt;=0,C50&lt;=B50,C50&gt;=D50,(A50*COS(RADIANS(Calculadora!$B$7))+Calculadora!$B$10*SIN(RADIANS(Calculadora!$B$7)))&lt;=0),"REVISAR","VÁLIDO")</x:f>
        <x:v>VÁLIDO</x:v>
      </x:c>
    </x:row>
    <x:row r="51">
      <x:c r="A51" s="94" t="n">
        <x:v>490</x:v>
      </x:c>
      <x:c r="B51" s="95" t="n">
        <x:f>ABS(A51*COS(RADIANS(Calculadora!$B$7))+Calculadora!$B$10*SIN(RADIANS(Calculadora!$B$7)))</x:f>
        <x:v>323.64132685482764</x:v>
      </x:c>
      <x:c r="C51" s="95" t="n">
        <x:f>ABS(A51*COS(RADIANS(Calculadora!$F$7))+Calculadora!$B$10*SIN(RADIANS(Calculadora!$F$7)))</x:f>
        <x:v>599.6427719463273</x:v>
      </x:c>
      <x:c r="D51" s="95" t="n">
        <x:f>SQRT(A51^2+Calculadora!$B$10^2)</x:f>
        <x:v>632.5345840347387</x:v>
      </x:c>
      <x:c r="E51" s="95" t="n">
        <x:f>C51-B51</x:f>
        <x:v>276.0014450914997</x:v>
      </x:c>
      <x:c r="F51" s="96" t="str">
        <x:f>IF(OR(B51&lt;=0,C51&lt;=B51,C51&gt;=D51,(A51*COS(RADIANS(Calculadora!$B$7))+Calculadora!$B$10*SIN(RADIANS(Calculadora!$B$7)))&lt;=0),"REVISAR","VÁLIDO")</x:f>
        <x:v>VÁLIDO</x:v>
      </x:c>
    </x:row>
    <x:row r="52">
      <x:c r="A52" s="94" t="n">
        <x:v>500</x:v>
      </x:c>
      <x:c r="B52" s="95" t="n">
        <x:f>ABS(A52*COS(RADIANS(Calculadora!$B$7))+Calculadora!$B$10*SIN(RADIANS(Calculadora!$B$7)))</x:f>
        <x:v>333.03825306268675</x:v>
      </x:c>
      <x:c r="C52" s="95" t="n">
        <x:f>ABS(A52*COS(RADIANS(Calculadora!$F$7))+Calculadora!$B$10*SIN(RADIANS(Calculadora!$F$7)))</x:f>
        <x:v>608.9992270760844</x:v>
      </x:c>
      <x:c r="D52" s="95" t="n">
        <x:f>SQRT(A52^2+Calculadora!$B$10^2)</x:f>
        <x:v>640.3124237432849</x:v>
      </x:c>
      <x:c r="E52" s="95" t="n">
        <x:f>C52-B52</x:f>
        <x:v>275.9609740133976</x:v>
      </x:c>
      <x:c r="F52" s="96" t="str">
        <x:f>IF(OR(B52&lt;=0,C52&lt;=B52,C52&gt;=D52,(A52*COS(RADIANS(Calculadora!$B$7))+Calculadora!$B$10*SIN(RADIANS(Calculadora!$B$7)))&lt;=0),"REVISAR","VÁLIDO")</x:f>
        <x:v>VÁLIDO</x:v>
      </x:c>
    </x:row>
    <x:row r="53">
      <x:c r="A53" s="94" t="n">
        <x:v>510</x:v>
      </x:c>
      <x:c r="B53" s="95" t="n">
        <x:f>ABS(A53*COS(RADIANS(Calculadora!$B$7))+Calculadora!$B$10*SIN(RADIANS(Calculadora!$B$7)))</x:f>
        <x:v>342.43517927054586</x:v>
      </x:c>
      <x:c r="C53" s="95" t="n">
        <x:f>ABS(A53*COS(RADIANS(Calculadora!$F$7))+Calculadora!$B$10*SIN(RADIANS(Calculadora!$F$7)))</x:f>
        <x:v>618.3556822058413</x:v>
      </x:c>
      <x:c r="D53" s="95" t="n">
        <x:f>SQRT(A53^2+Calculadora!$B$10^2)</x:f>
        <x:v>648.1512169239521</x:v>
      </x:c>
      <x:c r="E53" s="95" t="n">
        <x:f>C53-B53</x:f>
        <x:v>275.9205029352954</x:v>
      </x:c>
      <x:c r="F53" s="96" t="str">
        <x:f>IF(OR(B53&lt;=0,C53&lt;=B53,C53&gt;=D53,(A53*COS(RADIANS(Calculadora!$B$7))+Calculadora!$B$10*SIN(RADIANS(Calculadora!$B$7)))&lt;=0),"REVISAR","VÁLIDO")</x:f>
        <x:v>VÁLIDO</x:v>
      </x:c>
    </x:row>
    <x:row r="54">
      <x:c r="A54" s="94" t="n">
        <x:v>520</x:v>
      </x:c>
      <x:c r="B54" s="95" t="n">
        <x:f>ABS(A54*COS(RADIANS(Calculadora!$B$7))+Calculadora!$B$10*SIN(RADIANS(Calculadora!$B$7)))</x:f>
        <x:v>351.83210547840486</x:v>
      </x:c>
      <x:c r="C54" s="95" t="n">
        <x:f>ABS(A54*COS(RADIANS(Calculadora!$F$7))+Calculadora!$B$10*SIN(RADIANS(Calculadora!$F$7)))</x:f>
        <x:v>627.7121373355983</x:v>
      </x:c>
      <x:c r="D54" s="95" t="n">
        <x:f>SQRT(A54^2+Calculadora!$B$10^2)</x:f>
        <x:v>656.048778674269</x:v>
      </x:c>
      <x:c r="E54" s="95" t="n">
        <x:f>C54-B54</x:f>
        <x:v>275.88003185719344</x:v>
      </x:c>
      <x:c r="F54" s="96" t="str">
        <x:f>IF(OR(B54&lt;=0,C54&lt;=B54,C54&gt;=D54,(A54*COS(RADIANS(Calculadora!$B$7))+Calculadora!$B$10*SIN(RADIANS(Calculadora!$B$7)))&lt;=0),"REVISAR","VÁLIDO")</x:f>
        <x:v>VÁLIDO</x:v>
      </x:c>
    </x:row>
    <x:row r="55">
      <x:c r="A55" s="94" t="n">
        <x:v>530</x:v>
      </x:c>
      <x:c r="B55" s="95" t="n">
        <x:f>ABS(A55*COS(RADIANS(Calculadora!$B$7))+Calculadora!$B$10*SIN(RADIANS(Calculadora!$B$7)))</x:f>
        <x:v>361.22903168626397</x:v>
      </x:c>
      <x:c r="C55" s="95" t="n">
        <x:f>ABS(A55*COS(RADIANS(Calculadora!$F$7))+Calculadora!$B$10*SIN(RADIANS(Calculadora!$F$7)))</x:f>
        <x:v>637.0685924653552</x:v>
      </x:c>
      <x:c r="D55" s="95" t="n">
        <x:f>SQRT(A55^2+Calculadora!$B$10^2)</x:f>
        <x:v>664.0030120413611</x:v>
      </x:c>
      <x:c r="E55" s="95" t="n">
        <x:f>C55-B55</x:f>
        <x:v>275.83956077909124</x:v>
      </x:c>
      <x:c r="F55" s="96" t="str">
        <x:f>IF(OR(B55&lt;=0,C55&lt;=B55,C55&gt;=D55,(A55*COS(RADIANS(Calculadora!$B$7))+Calculadora!$B$10*SIN(RADIANS(Calculadora!$B$7)))&lt;=0),"REVISAR","VÁLIDO")</x:f>
        <x:v>VÁLIDO</x:v>
      </x:c>
    </x:row>
    <x:row r="56">
      <x:c r="A56" s="94" t="n">
        <x:v>540</x:v>
      </x:c>
      <x:c r="B56" s="95" t="n">
        <x:f>ABS(A56*COS(RADIANS(Calculadora!$B$7))+Calculadora!$B$10*SIN(RADIANS(Calculadora!$B$7)))</x:f>
        <x:v>370.6259578941231</x:v>
      </x:c>
      <x:c r="C56" s="95" t="n">
        <x:f>ABS(A56*COS(RADIANS(Calculadora!$F$7))+Calculadora!$B$10*SIN(RADIANS(Calculadora!$F$7)))</x:f>
        <x:v>646.4250475951122</x:v>
      </x:c>
      <x:c r="D56" s="95" t="n">
        <x:f>SQRT(A56^2+Calculadora!$B$10^2)</x:f>
        <x:v>672.0119046564577</x:v>
      </x:c>
      <x:c r="E56" s="95" t="n">
        <x:f>C56-B56</x:f>
        <x:v>275.79908970098916</x:v>
      </x:c>
      <x:c r="F56" s="96" t="str">
        <x:f>IF(OR(B56&lt;=0,C56&lt;=B56,C56&gt;=D56,(A56*COS(RADIANS(Calculadora!$B$7))+Calculadora!$B$10*SIN(RADIANS(Calculadora!$B$7)))&lt;=0),"REVISAR","VÁLIDO")</x:f>
        <x:v>VÁLIDO</x:v>
      </x:c>
    </x:row>
    <x:row r="57">
      <x:c r="A57" s="97" t="n">
        <x:v>550</x:v>
      </x:c>
      <x:c r="B57" s="98" t="n">
        <x:f>ABS(A57*COS(RADIANS(Calculadora!$B$7))+Calculadora!$B$10*SIN(RADIANS(Calculadora!$B$7)))</x:f>
        <x:v>380.0228841019822</x:v>
      </x:c>
      <x:c r="C57" s="98" t="n">
        <x:f>ABS(A57*COS(RADIANS(Calculadora!$F$7))+Calculadora!$B$10*SIN(RADIANS(Calculadora!$F$7)))</x:f>
        <x:v>655.7815027248693</x:v>
      </x:c>
      <x:c r="D57" s="98" t="n">
        <x:f>SQRT(A57^2+Calculadora!$B$10^2)</x:f>
        <x:v>680.0735254367721</x:v>
      </x:c>
      <x:c r="E57" s="98" t="n">
        <x:f>C57-B57</x:f>
        <x:v>275.75861862288707</x:v>
      </x:c>
      <x:c r="F57" s="99" t="str">
        <x:f>IF(OR(B57&lt;=0,C57&lt;=B57,C57&gt;=D57,(A57*COS(RADIANS(Calculadora!$B$7))+Calculadora!$B$10*SIN(RADIANS(Calculadora!$B$7)))&lt;=0),"REVISAR","VÁLIDO")</x:f>
        <x:v>VÁLIDO</x:v>
      </x:c>
    </x:row>
  </x:sheetData>
  <x:mergeCells>
    <x:mergeCell ref="A1:H1"/>
    <x:mergeCell ref="A3:H4"/>
  </x:mergeCells>
  <x:conditionalFormatting sqref="F7:F57">
    <x:cfRule type="expression" dxfId="2" priority="1">
      <x:formula>F7="VÁLIDO"</x:formula>
    </x:cfRule>
    <x:cfRule type="expression" dxfId="3" priority="2">
      <x:formula>F7="REVISAR"</x:formula>
    </x:cfRule>
  </x:conditionalFormatting>
  <x:pageMargins left="0.7" right="0.7" top="0.75" bottom="0.75" header="0.3" footer="0.3"/>
  <x:drawing xmlns:r="http://schemas.openxmlformats.org/officeDocument/2006/relationships" r:id="R56a64f563aa64766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85" t="str">
        <x:v>Ecuaciones utilizadas</x:v>
      </x:c>
      <x:c r="B1" s="85"/>
      <x:c r="C1" s="85"/>
      <x:c r="D1" s="85"/>
      <x:c r="E1" s="85"/>
      <x:c r="F1" s="85"/>
    </x:row>
    <x:row r="3">
      <x:c r="A3" s="106" t="str">
        <x:v>Definición</x:v>
      </x:c>
      <x:c r="B3" s="107" t="str">
        <x:v>Ecuación / explicación</x:v>
      </x:c>
    </x:row>
    <x:row r="4">
      <x:c r="A4" s="55" t="str">
        <x:v>Pivote del martillo</x:v>
      </x:c>
      <x:c r="B4" s="110" t="str">
        <x:v>O = (0,0)</x:v>
      </x:c>
    </x:row>
    <x:row r="5">
      <x:c r="A5" s="55" t="str">
        <x:v>Centro de la leva</x:v>
      </x:c>
      <x:c r="B5" s="110" t="str">
        <x:v>C = (Lt,Ht)</x:v>
      </x:c>
    </x:row>
    <x:row r="6">
      <x:c r="A6" s="55" t="str">
        <x:v>Ángulo de la tangente</x:v>
      </x:c>
      <x:c r="B6" s="110" t="str">
        <x:v>φ = θ + 90°</x:v>
      </x:c>
    </x:row>
    <x:row r="7">
      <x:c r="A7" s="55" t="str">
        <x:v>Radio por distancia a la tangente</x:v>
      </x:c>
      <x:c r="B7" s="110" t="str">
        <x:v>ρ = |Lt·cos(θ) + Ht·sin(θ)|</x:v>
      </x:c>
    </x:row>
    <x:row r="8">
      <x:c r="A8" s="55" t="str">
        <x:v>Radio menor</x:v>
      </x:c>
      <x:c r="B8" s="110" t="str">
        <x:v>r = |Lt·cos(θmín) + Ht·sin(θmín)|</x:v>
      </x:c>
    </x:row>
    <x:row r="9">
      <x:c r="A9" s="55" t="str">
        <x:v>Ángulo máximo</x:v>
      </x:c>
      <x:c r="B9" s="110" t="str">
        <x:v>θmáx = asin(Hmáx/Lh)</x:v>
      </x:c>
    </x:row>
    <x:row r="10">
      <x:c r="A10" s="55" t="str">
        <x:v>Radio mayor</x:v>
      </x:c>
      <x:c r="B10" s="110" t="str">
        <x:v>R = |Lt·cos(θmáx) + Ht·sin(θmáx)|</x:v>
      </x:c>
    </x:row>
    <x:row r="11">
      <x:c r="A11" s="55" t="str">
        <x:v>Si se fija r</x:v>
      </x:c>
      <x:c r="B11" s="110" t="str">
        <x:v>Lt = [r - Ht·sin(θmín)] / cos(θmín), para la rama elegida</x:v>
      </x:c>
    </x:row>
    <x:row r="12">
      <x:c r="A12" s="55" t="str">
        <x:v>Altura mínima</x:v>
      </x:c>
      <x:c r="B12" s="110" t="str">
        <x:v>Hmín = Lh·sin(θmín)</x:v>
      </x:c>
    </x:row>
    <x:row r="13">
      <x:c r="A13" s="55" t="str">
        <x:v>Recorrido total</x:v>
      </x:c>
      <x:c r="B13" s="110" t="str">
        <x:v>ΔH = Hmáx - Hmín</x:v>
      </x:c>
    </x:row>
    <x:row r="14">
      <x:c r="A14" s="60" t="str">
        <x:v>Condición de tangencia</x:v>
      </x:c>
      <x:c r="B14" s="111" t="str">
        <x:v>0 &lt; r &lt; R &lt; d, con d = sqrt(Lt²+Ht²)</x:v>
      </x:c>
    </x:row>
    <x:row r="16">
      <x:c r="A16" s="89" t="str">
        <x:v>Por qué hace falta una dimensión adicional: los ángulos solo fijan relaciones geométricas. Si todas las longitudes Lt, Ht, r y R se multiplican por el mismo factor, los ángulos no cambian. Por eso hay infinitas soluciones semejantes hasta fijar la escala con Ht y con Lt o r.</x:v>
      </x:c>
      <x:c r="B16" s="89"/>
    </x:row>
    <x:row r="17">
      <x:c r="A17" s="89"/>
      <x:c r="B17" s="89"/>
    </x:row>
    <x:row r="18">
      <x:c r="A18" s="89"/>
      <x:c r="B18" s="89"/>
    </x:row>
  </x:sheetData>
  <x:mergeCells>
    <x:mergeCell ref="A1:F1"/>
    <x:mergeCell ref="A16:B18"/>
  </x:mergeCells>
  <x:pageMargins left="0.7" right="0.7" top="0.75" bottom="0.75" header="0.3" footer="0.3"/>
</x:worksheet>
</file>